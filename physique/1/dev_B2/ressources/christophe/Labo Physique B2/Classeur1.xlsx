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d\OneDrive\Bureau\Labo Physique B2\"/>
    </mc:Choice>
  </mc:AlternateContent>
  <xr:revisionPtr revIDLastSave="0" documentId="13_ncr:1_{C24BC534-1102-4635-9242-EB61DA1A8E81}" xr6:coauthVersionLast="47" xr6:coauthVersionMax="47" xr10:uidLastSave="{00000000-0000-0000-0000-000000000000}"/>
  <bookViews>
    <workbookView xWindow="-120" yWindow="-120" windowWidth="29040" windowHeight="16440" activeTab="3" xr2:uid="{17D13BE7-FBD1-4183-B476-070D7351C4C6}"/>
  </bookViews>
  <sheets>
    <sheet name="Partie1B" sheetId="1" r:id="rId1"/>
    <sheet name="Partie1A" sheetId="2" r:id="rId2"/>
    <sheet name="Partie1D" sheetId="3" r:id="rId3"/>
    <sheet name="Partie 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2" i="4"/>
  <c r="H3" i="4"/>
  <c r="H4" i="4"/>
  <c r="H5" i="4"/>
  <c r="H6" i="4"/>
  <c r="H2" i="4"/>
  <c r="G3" i="4"/>
  <c r="G4" i="4"/>
  <c r="G5" i="4"/>
  <c r="G6" i="4"/>
  <c r="G2" i="4"/>
  <c r="F3" i="4"/>
  <c r="F4" i="4"/>
  <c r="F5" i="4"/>
  <c r="F6" i="4"/>
  <c r="F2" i="4"/>
  <c r="D3" i="1"/>
  <c r="D4" i="1"/>
  <c r="D5" i="1"/>
  <c r="D6" i="1"/>
  <c r="D7" i="1"/>
  <c r="D8" i="1"/>
  <c r="D9" i="1"/>
  <c r="D10" i="1"/>
  <c r="D2" i="1"/>
  <c r="C3" i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<sst xmlns="http://schemas.openxmlformats.org/spreadsheetml/2006/main" count="26" uniqueCount="22">
  <si>
    <t>Distance(cm)</t>
  </si>
  <si>
    <t>Amplitude(mV)</t>
  </si>
  <si>
    <t>1/r</t>
  </si>
  <si>
    <t>1/r2</t>
  </si>
  <si>
    <t>Phase(°)</t>
  </si>
  <si>
    <t>0°</t>
  </si>
  <si>
    <t>2°</t>
  </si>
  <si>
    <t>c</t>
  </si>
  <si>
    <t>Angle(°)</t>
  </si>
  <si>
    <t>amplitude(mV)</t>
  </si>
  <si>
    <t>Amplitude source</t>
  </si>
  <si>
    <t>Amplitude reception</t>
  </si>
  <si>
    <t>Amplitude rebond source</t>
  </si>
  <si>
    <t>amplitude rebond reception</t>
  </si>
  <si>
    <t>Resistance</t>
  </si>
  <si>
    <t>infini</t>
  </si>
  <si>
    <t>Reflection</t>
  </si>
  <si>
    <t>Transmission</t>
  </si>
  <si>
    <t>Reflection theorique</t>
  </si>
  <si>
    <t>Zc</t>
  </si>
  <si>
    <t>value R infini</t>
  </si>
  <si>
    <t>Transmission theorique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</si>
</sst>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Partie1B!$C$1</c:f>
              <c:strCache>
                <c:ptCount val="1"/>
                <c:pt idx="0">
                  <c:v>1/r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Partie1B!$C$2:$C$10</c:f>
              <c:numCache>
                <c:formatCode>General</c:formatCode>
                <c:ptCount val="9"/>
                <c:pt idx="0">
                  <c:v>0.2</c:v>
                </c:pt>
                <c:pt idx="1">
                  <c:v>0.13333333333333333</c:v>
                </c:pt>
                <c:pt idx="2">
                  <c:v>0.1</c:v>
                </c:pt>
                <c:pt idx="3">
                  <c:v>0.08</c:v>
                </c:pt>
                <c:pt idx="4">
                  <c:v>6.6666666666666666E-2</c:v>
                </c:pt>
                <c:pt idx="5">
                  <c:v>5.7142857142857141E-2</c:v>
                </c:pt>
                <c:pt idx="6">
                  <c:v>0.05</c:v>
                </c:pt>
                <c:pt idx="7">
                  <c:v>4.4444444444444446E-2</c:v>
                </c:pt>
                <c:pt idx="8">
                  <c:v>0.04</c:v>
                </c:pt>
              </c:numCache>
            </c:numRef>
          </c:xVal>
          <c:yVal>
            <c:numRef>
              <c:f>Partie1B!$B$2:$B$10</c:f>
              <c:numCache>
                <c:formatCode>General</c:formatCode>
                <c:ptCount val="9"/>
                <c:pt idx="0">
                  <c:v>304</c:v>
                </c:pt>
                <c:pt idx="1">
                  <c:v>275</c:v>
                </c:pt>
                <c:pt idx="2">
                  <c:v>253</c:v>
                </c:pt>
                <c:pt idx="3">
                  <c:v>230</c:v>
                </c:pt>
                <c:pt idx="4">
                  <c:v>213</c:v>
                </c:pt>
                <c:pt idx="5">
                  <c:v>200</c:v>
                </c:pt>
                <c:pt idx="6">
                  <c:v>190</c:v>
                </c:pt>
                <c:pt idx="7">
                  <c:v>180</c:v>
                </c:pt>
                <c:pt idx="8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E-4293-946C-A9AD43B9F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091264"/>
        <c:axId val="1992081184"/>
      </c:scatterChart>
      <c:valAx>
        <c:axId val="199209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2081184"/>
        <c:crosses val="autoZero"/>
        <c:crossBetween val="midCat"/>
      </c:valAx>
      <c:valAx>
        <c:axId val="199208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209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Partie1B!$D$1</c:f>
              <c:strCache>
                <c:ptCount val="1"/>
                <c:pt idx="0">
                  <c:v>1/r2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Partie1B!$D$2:$D$10</c:f>
              <c:numCache>
                <c:formatCode>General</c:formatCode>
                <c:ptCount val="9"/>
                <c:pt idx="0">
                  <c:v>0.04</c:v>
                </c:pt>
                <c:pt idx="1">
                  <c:v>1.7777777777777778E-2</c:v>
                </c:pt>
                <c:pt idx="2">
                  <c:v>0.01</c:v>
                </c:pt>
                <c:pt idx="3">
                  <c:v>6.4000000000000003E-3</c:v>
                </c:pt>
                <c:pt idx="4">
                  <c:v>4.4444444444444444E-3</c:v>
                </c:pt>
                <c:pt idx="5">
                  <c:v>3.2653061224489797E-3</c:v>
                </c:pt>
                <c:pt idx="6">
                  <c:v>2.5000000000000001E-3</c:v>
                </c:pt>
                <c:pt idx="7">
                  <c:v>1.9753086419753087E-3</c:v>
                </c:pt>
                <c:pt idx="8">
                  <c:v>1.6000000000000001E-3</c:v>
                </c:pt>
              </c:numCache>
            </c:numRef>
          </c:xVal>
          <c:yVal>
            <c:numRef>
              <c:f>Partie1B!$B$2:$B$10</c:f>
              <c:numCache>
                <c:formatCode>General</c:formatCode>
                <c:ptCount val="9"/>
                <c:pt idx="0">
                  <c:v>304</c:v>
                </c:pt>
                <c:pt idx="1">
                  <c:v>275</c:v>
                </c:pt>
                <c:pt idx="2">
                  <c:v>253</c:v>
                </c:pt>
                <c:pt idx="3">
                  <c:v>230</c:v>
                </c:pt>
                <c:pt idx="4">
                  <c:v>213</c:v>
                </c:pt>
                <c:pt idx="5">
                  <c:v>200</c:v>
                </c:pt>
                <c:pt idx="6">
                  <c:v>190</c:v>
                </c:pt>
                <c:pt idx="7">
                  <c:v>180</c:v>
                </c:pt>
                <c:pt idx="8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17-4616-84FB-A28D9D5FA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091264"/>
        <c:axId val="1992081184"/>
      </c:scatterChart>
      <c:valAx>
        <c:axId val="199209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2081184"/>
        <c:crosses val="autoZero"/>
        <c:crossBetween val="midCat"/>
      </c:valAx>
      <c:valAx>
        <c:axId val="199208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209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Partie1D!$A$2:$A$14</c:f>
              <c:numCache>
                <c:formatCode>General</c:formatCode>
                <c:ptCount val="13"/>
                <c:pt idx="0">
                  <c:v>-90</c:v>
                </c:pt>
                <c:pt idx="1">
                  <c:v>-75</c:v>
                </c:pt>
                <c:pt idx="2">
                  <c:v>-60</c:v>
                </c:pt>
                <c:pt idx="3">
                  <c:v>-45</c:v>
                </c:pt>
                <c:pt idx="4">
                  <c:v>-30</c:v>
                </c:pt>
                <c:pt idx="5">
                  <c:v>-15</c:v>
                </c:pt>
                <c:pt idx="6">
                  <c:v>0</c:v>
                </c:pt>
                <c:pt idx="7">
                  <c:v>15</c:v>
                </c:pt>
                <c:pt idx="8">
                  <c:v>30</c:v>
                </c:pt>
                <c:pt idx="9">
                  <c:v>45</c:v>
                </c:pt>
                <c:pt idx="10">
                  <c:v>60</c:v>
                </c:pt>
                <c:pt idx="11">
                  <c:v>75</c:v>
                </c:pt>
                <c:pt idx="12">
                  <c:v>90</c:v>
                </c:pt>
              </c:numCache>
            </c:numRef>
          </c:xVal>
          <c:yVal>
            <c:numRef>
              <c:f>Partie1D!$B$2:$B$14</c:f>
              <c:numCache>
                <c:formatCode>General</c:formatCode>
                <c:ptCount val="13"/>
                <c:pt idx="0">
                  <c:v>28</c:v>
                </c:pt>
                <c:pt idx="1">
                  <c:v>32</c:v>
                </c:pt>
                <c:pt idx="2">
                  <c:v>40</c:v>
                </c:pt>
                <c:pt idx="3">
                  <c:v>40</c:v>
                </c:pt>
                <c:pt idx="4">
                  <c:v>80</c:v>
                </c:pt>
                <c:pt idx="5">
                  <c:v>193</c:v>
                </c:pt>
                <c:pt idx="6">
                  <c:v>308</c:v>
                </c:pt>
                <c:pt idx="7">
                  <c:v>245</c:v>
                </c:pt>
                <c:pt idx="8">
                  <c:v>117</c:v>
                </c:pt>
                <c:pt idx="9">
                  <c:v>52</c:v>
                </c:pt>
                <c:pt idx="10">
                  <c:v>32</c:v>
                </c:pt>
                <c:pt idx="11">
                  <c:v>24</c:v>
                </c:pt>
                <c:pt idx="1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1-4859-9EB1-9BA9F7909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053824"/>
        <c:axId val="1992058624"/>
      </c:scatterChart>
      <c:valAx>
        <c:axId val="19920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2058624"/>
        <c:crosses val="autoZero"/>
        <c:crossBetween val="midCat"/>
      </c:valAx>
      <c:valAx>
        <c:axId val="199205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205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0</xdr:row>
      <xdr:rowOff>171450</xdr:rowOff>
    </xdr:from>
    <xdr:to>
      <xdr:col>10</xdr:col>
      <xdr:colOff>285750</xdr:colOff>
      <xdr:row>15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936A7EE-2020-B75E-6E16-E92EDC1AC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16</xdr:row>
      <xdr:rowOff>85725</xdr:rowOff>
    </xdr:from>
    <xdr:to>
      <xdr:col>10</xdr:col>
      <xdr:colOff>133350</xdr:colOff>
      <xdr:row>30</xdr:row>
      <xdr:rowOff>161925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630E4BF-86E0-40EE-A781-3CE7029CA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1</xdr:row>
      <xdr:rowOff>9525</xdr:rowOff>
    </xdr:from>
    <xdr:to>
      <xdr:col>8</xdr:col>
      <xdr:colOff>104775</xdr:colOff>
      <xdr:row>15</xdr:row>
      <xdr:rowOff>85725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B1BEBA0-8C75-FBAF-B121-BAACC451E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15960-CD3D-440D-AA02-7857BCA3BF76}">
  <dimension ref="A1:D10"/>
  <sheetViews>
    <sheetView workbookViewId="0">
      <selection activeCell="L8" sqref="L8"/>
    </sheetView>
  </sheetViews>
  <sheetFormatPr baseColWidth="10" defaultRowHeight="15" x14ac:dyDescent="0.25"/>
  <cols>
    <col min="1" max="1" width="12.85546875" bestFit="1" customWidth="1"/>
    <col min="2" max="2" width="14.28515625" bestFit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5</v>
      </c>
      <c r="B2">
        <v>304</v>
      </c>
      <c r="C2">
        <f>1/A2</f>
        <v>0.2</v>
      </c>
      <c r="D2">
        <f>1/(A2^2)</f>
        <v>0.04</v>
      </c>
    </row>
    <row r="3" spans="1:4" x14ac:dyDescent="0.25">
      <c r="A3" s="1">
        <v>7.5</v>
      </c>
      <c r="B3">
        <v>275</v>
      </c>
      <c r="C3">
        <f t="shared" ref="C3:C10" si="0">1/A3</f>
        <v>0.13333333333333333</v>
      </c>
      <c r="D3">
        <f t="shared" ref="D3:D10" si="1">1/(A3^2)</f>
        <v>1.7777777777777778E-2</v>
      </c>
    </row>
    <row r="4" spans="1:4" x14ac:dyDescent="0.25">
      <c r="A4" s="1">
        <v>10</v>
      </c>
      <c r="B4">
        <v>253</v>
      </c>
      <c r="C4">
        <f t="shared" si="0"/>
        <v>0.1</v>
      </c>
      <c r="D4">
        <f t="shared" si="1"/>
        <v>0.01</v>
      </c>
    </row>
    <row r="5" spans="1:4" x14ac:dyDescent="0.25">
      <c r="A5" s="1">
        <v>12.5</v>
      </c>
      <c r="B5">
        <v>230</v>
      </c>
      <c r="C5">
        <f t="shared" si="0"/>
        <v>0.08</v>
      </c>
      <c r="D5">
        <f t="shared" si="1"/>
        <v>6.4000000000000003E-3</v>
      </c>
    </row>
    <row r="6" spans="1:4" x14ac:dyDescent="0.25">
      <c r="A6" s="1">
        <v>15</v>
      </c>
      <c r="B6">
        <v>213</v>
      </c>
      <c r="C6">
        <f t="shared" si="0"/>
        <v>6.6666666666666666E-2</v>
      </c>
      <c r="D6">
        <f t="shared" si="1"/>
        <v>4.4444444444444444E-3</v>
      </c>
    </row>
    <row r="7" spans="1:4" x14ac:dyDescent="0.25">
      <c r="A7" s="1">
        <v>17.5</v>
      </c>
      <c r="B7">
        <v>200</v>
      </c>
      <c r="C7">
        <f t="shared" si="0"/>
        <v>5.7142857142857141E-2</v>
      </c>
      <c r="D7">
        <f t="shared" si="1"/>
        <v>3.2653061224489797E-3</v>
      </c>
    </row>
    <row r="8" spans="1:4" x14ac:dyDescent="0.25">
      <c r="A8" s="1">
        <v>20</v>
      </c>
      <c r="B8">
        <v>190</v>
      </c>
      <c r="C8">
        <f t="shared" si="0"/>
        <v>0.05</v>
      </c>
      <c r="D8">
        <f t="shared" si="1"/>
        <v>2.5000000000000001E-3</v>
      </c>
    </row>
    <row r="9" spans="1:4" x14ac:dyDescent="0.25">
      <c r="A9" s="1">
        <v>22.5</v>
      </c>
      <c r="B9">
        <v>180</v>
      </c>
      <c r="C9">
        <f t="shared" si="0"/>
        <v>4.4444444444444446E-2</v>
      </c>
      <c r="D9">
        <f t="shared" si="1"/>
        <v>1.9753086419753087E-3</v>
      </c>
    </row>
    <row r="10" spans="1:4" x14ac:dyDescent="0.25">
      <c r="A10" s="1">
        <v>25</v>
      </c>
      <c r="B10">
        <v>170</v>
      </c>
      <c r="C10">
        <f t="shared" si="0"/>
        <v>0.04</v>
      </c>
      <c r="D10">
        <f t="shared" si="1"/>
        <v>1.6000000000000001E-3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0846-0712-40D4-B544-8BCD940792B3}">
  <dimension ref="A1:D6"/>
  <sheetViews>
    <sheetView workbookViewId="0">
      <selection activeCell="G14" sqref="G14"/>
    </sheetView>
  </sheetViews>
  <sheetFormatPr baseColWidth="10" defaultRowHeight="15" x14ac:dyDescent="0.25"/>
  <sheetData>
    <row r="1" spans="1:4" x14ac:dyDescent="0.25">
      <c r="A1" t="s">
        <v>0</v>
      </c>
      <c r="B1" t="s">
        <v>4</v>
      </c>
      <c r="D1" t="s">
        <v>7</v>
      </c>
    </row>
    <row r="2" spans="1:4" x14ac:dyDescent="0.25">
      <c r="A2">
        <v>0.9</v>
      </c>
      <c r="B2" t="s">
        <v>5</v>
      </c>
    </row>
    <row r="3" spans="1:4" x14ac:dyDescent="0.25">
      <c r="A3">
        <v>1.7</v>
      </c>
      <c r="B3" t="s">
        <v>5</v>
      </c>
    </row>
    <row r="4" spans="1:4" x14ac:dyDescent="0.25">
      <c r="A4">
        <v>2.6</v>
      </c>
      <c r="B4" t="s">
        <v>5</v>
      </c>
    </row>
    <row r="5" spans="1:4" x14ac:dyDescent="0.25">
      <c r="A5">
        <v>3.5</v>
      </c>
      <c r="B5" t="s">
        <v>6</v>
      </c>
    </row>
    <row r="6" spans="1:4" x14ac:dyDescent="0.25">
      <c r="A6">
        <v>4.4000000000000004</v>
      </c>
      <c r="B6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446B2-9E52-4594-B5D6-498BDF1F3D09}">
  <dimension ref="A1:B14"/>
  <sheetViews>
    <sheetView workbookViewId="0">
      <selection activeCell="L18" sqref="L18"/>
    </sheetView>
  </sheetViews>
  <sheetFormatPr baseColWidth="10" defaultRowHeight="15" x14ac:dyDescent="0.25"/>
  <cols>
    <col min="1" max="1" width="8" bestFit="1" customWidth="1"/>
    <col min="2" max="2" width="14.2851562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>
        <v>-90</v>
      </c>
      <c r="B2">
        <v>28</v>
      </c>
    </row>
    <row r="3" spans="1:2" x14ac:dyDescent="0.25">
      <c r="A3">
        <v>-75</v>
      </c>
      <c r="B3">
        <v>32</v>
      </c>
    </row>
    <row r="4" spans="1:2" x14ac:dyDescent="0.25">
      <c r="A4">
        <v>-60</v>
      </c>
      <c r="B4">
        <v>40</v>
      </c>
    </row>
    <row r="5" spans="1:2" x14ac:dyDescent="0.25">
      <c r="A5">
        <v>-45</v>
      </c>
      <c r="B5">
        <v>40</v>
      </c>
    </row>
    <row r="6" spans="1:2" x14ac:dyDescent="0.25">
      <c r="A6">
        <v>-30</v>
      </c>
      <c r="B6">
        <v>80</v>
      </c>
    </row>
    <row r="7" spans="1:2" x14ac:dyDescent="0.25">
      <c r="A7">
        <v>-15</v>
      </c>
      <c r="B7">
        <v>193</v>
      </c>
    </row>
    <row r="8" spans="1:2" x14ac:dyDescent="0.25">
      <c r="A8">
        <v>0</v>
      </c>
      <c r="B8">
        <v>308</v>
      </c>
    </row>
    <row r="9" spans="1:2" x14ac:dyDescent="0.25">
      <c r="A9">
        <v>15</v>
      </c>
      <c r="B9">
        <v>245</v>
      </c>
    </row>
    <row r="10" spans="1:2" x14ac:dyDescent="0.25">
      <c r="A10">
        <v>30</v>
      </c>
      <c r="B10">
        <v>117</v>
      </c>
    </row>
    <row r="11" spans="1:2" x14ac:dyDescent="0.25">
      <c r="A11">
        <v>45</v>
      </c>
      <c r="B11">
        <v>52</v>
      </c>
    </row>
    <row r="12" spans="1:2" x14ac:dyDescent="0.25">
      <c r="A12">
        <v>60</v>
      </c>
      <c r="B12">
        <v>32</v>
      </c>
    </row>
    <row r="13" spans="1:2" x14ac:dyDescent="0.25">
      <c r="A13">
        <v>75</v>
      </c>
      <c r="B13">
        <v>24</v>
      </c>
    </row>
    <row r="14" spans="1:2" x14ac:dyDescent="0.25">
      <c r="A14">
        <v>90</v>
      </c>
      <c r="B14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5DA5-8D9D-4EB4-BBA4-78D63BABEFC8}">
  <dimension ref="A1:L6"/>
  <sheetViews>
    <sheetView tabSelected="1" workbookViewId="0">
      <selection activeCell="K7" sqref="K7"/>
    </sheetView>
  </sheetViews>
  <sheetFormatPr baseColWidth="10" defaultRowHeight="15" x14ac:dyDescent="0.25"/>
  <cols>
    <col min="1" max="1" width="10.5703125" bestFit="1" customWidth="1"/>
    <col min="2" max="2" width="16.5703125" bestFit="1" customWidth="1"/>
    <col min="3" max="3" width="18.85546875" bestFit="1" customWidth="1"/>
    <col min="4" max="4" width="23.42578125" bestFit="1" customWidth="1"/>
    <col min="5" max="5" width="25.7109375" bestFit="1" customWidth="1"/>
    <col min="6" max="6" width="12.7109375" bestFit="1" customWidth="1"/>
    <col min="7" max="7" width="13.140625" bestFit="1" customWidth="1"/>
    <col min="8" max="8" width="18.7109375" bestFit="1" customWidth="1"/>
  </cols>
  <sheetData>
    <row r="1" spans="1:12" x14ac:dyDescent="0.25">
      <c r="A1" t="s">
        <v>14</v>
      </c>
      <c r="B1" t="s">
        <v>10</v>
      </c>
      <c r="C1" t="s">
        <v>11</v>
      </c>
      <c r="D1" t="s">
        <v>12</v>
      </c>
      <c r="E1" t="s">
        <v>13</v>
      </c>
      <c r="F1" t="s">
        <v>16</v>
      </c>
      <c r="G1" t="s">
        <v>17</v>
      </c>
      <c r="H1" t="s">
        <v>18</v>
      </c>
      <c r="I1" t="s">
        <v>21</v>
      </c>
      <c r="J1" t="s">
        <v>19</v>
      </c>
      <c r="L1" t="s">
        <v>20</v>
      </c>
    </row>
    <row r="2" spans="1:12" x14ac:dyDescent="0.25">
      <c r="A2">
        <v>50</v>
      </c>
      <c r="B2">
        <v>2.6</v>
      </c>
      <c r="C2">
        <v>2.25</v>
      </c>
      <c r="D2">
        <v>-0.25</v>
      </c>
      <c r="E2">
        <v>0</v>
      </c>
      <c r="F2">
        <f>D2/B2</f>
        <v>-9.6153846153846145E-2</v>
      </c>
      <c r="G2">
        <f>C2/B2</f>
        <v>0.86538461538461531</v>
      </c>
      <c r="H2">
        <f>(A2-$J$2)/(A2+$J$2)</f>
        <v>0</v>
      </c>
      <c r="I2">
        <f>1+H2</f>
        <v>1</v>
      </c>
      <c r="J2">
        <v>50</v>
      </c>
      <c r="L2">
        <v>10000000</v>
      </c>
    </row>
    <row r="3" spans="1:12" x14ac:dyDescent="0.25">
      <c r="A3" t="s">
        <v>15</v>
      </c>
      <c r="B3">
        <v>2.6</v>
      </c>
      <c r="C3">
        <v>4.8099999999999996</v>
      </c>
      <c r="D3">
        <v>2.09</v>
      </c>
      <c r="E3">
        <v>-0.1</v>
      </c>
      <c r="F3">
        <f t="shared" ref="F3:F6" si="0">D3/B3</f>
        <v>0.80384615384615377</v>
      </c>
      <c r="G3">
        <f t="shared" ref="G3:G6" si="1">C3/B3</f>
        <v>1.8499999999999999</v>
      </c>
      <c r="H3">
        <f>(L2-$J$2)/(L2+$J$2)</f>
        <v>0.99999000004999972</v>
      </c>
      <c r="I3">
        <f t="shared" ref="I3:I6" si="2">1+H3</f>
        <v>1.9999900000499997</v>
      </c>
    </row>
    <row r="4" spans="1:12" x14ac:dyDescent="0.25">
      <c r="A4">
        <v>0</v>
      </c>
      <c r="B4">
        <v>2.59</v>
      </c>
      <c r="C4">
        <v>2.1800000000000002</v>
      </c>
      <c r="D4">
        <v>-2.33</v>
      </c>
      <c r="E4">
        <v>-2.25</v>
      </c>
      <c r="F4">
        <f t="shared" si="0"/>
        <v>-0.8996138996138997</v>
      </c>
      <c r="G4">
        <f t="shared" si="1"/>
        <v>0.84169884169884179</v>
      </c>
      <c r="H4">
        <f t="shared" ref="H3:H6" si="3">(A4-$J$2)/(A4+$J$2)</f>
        <v>-1</v>
      </c>
      <c r="I4">
        <f t="shared" si="2"/>
        <v>0</v>
      </c>
    </row>
    <row r="5" spans="1:12" x14ac:dyDescent="0.25">
      <c r="A5">
        <v>30</v>
      </c>
      <c r="B5">
        <v>2.56</v>
      </c>
      <c r="C5">
        <v>1.68</v>
      </c>
      <c r="D5">
        <v>-0.61</v>
      </c>
      <c r="E5">
        <v>-0.63</v>
      </c>
      <c r="F5">
        <f t="shared" si="0"/>
        <v>-0.23828125</v>
      </c>
      <c r="G5">
        <f t="shared" si="1"/>
        <v>0.65625</v>
      </c>
      <c r="H5">
        <f t="shared" si="3"/>
        <v>-0.25</v>
      </c>
      <c r="I5">
        <f t="shared" si="2"/>
        <v>0.75</v>
      </c>
    </row>
    <row r="6" spans="1:12" x14ac:dyDescent="0.25">
      <c r="A6">
        <v>1000</v>
      </c>
      <c r="B6">
        <v>2.6</v>
      </c>
      <c r="C6">
        <v>4.5</v>
      </c>
      <c r="D6">
        <v>1.86</v>
      </c>
      <c r="E6">
        <v>-7.4999999999999997E-2</v>
      </c>
      <c r="F6">
        <f t="shared" si="0"/>
        <v>0.7153846153846154</v>
      </c>
      <c r="G6">
        <f t="shared" si="1"/>
        <v>1.7307692307692306</v>
      </c>
      <c r="H6">
        <f t="shared" si="3"/>
        <v>0.90476190476190477</v>
      </c>
      <c r="I6">
        <f t="shared" si="2"/>
        <v>1.9047619047619047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Partie1B</vt:lpstr>
      <vt:lpstr>Partie1A</vt:lpstr>
      <vt:lpstr>Partie1D</vt:lpstr>
      <vt:lpstr>Partie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Damasio</dc:creator>
  <cp:lastModifiedBy>leandro Damasio</cp:lastModifiedBy>
  <dcterms:created xsi:type="dcterms:W3CDTF">2025-12-09T08:29:55Z</dcterms:created>
  <dcterms:modified xsi:type="dcterms:W3CDTF">2025-12-09T10:27:17Z</dcterms:modified>
</cp:coreProperties>
</file>