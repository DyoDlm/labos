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th\OneDrive\Desktop\HEPIA\Physique\"/>
    </mc:Choice>
  </mc:AlternateContent>
  <xr:revisionPtr revIDLastSave="0" documentId="13_ncr:1_{892A17DF-4DA0-468A-B22C-EC6577553912}" xr6:coauthVersionLast="47" xr6:coauthVersionMax="47" xr10:uidLastSave="{00000000-0000-0000-0000-000000000000}"/>
  <bookViews>
    <workbookView xWindow="-110" yWindow="-110" windowWidth="19420" windowHeight="11500" xr2:uid="{9B868F84-286B-4B06-A8A2-251002CF53DB}"/>
  </bookViews>
  <sheets>
    <sheet name="Ligne ouvert" sheetId="1" r:id="rId1"/>
    <sheet name="Ligne fermé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J24" i="1"/>
  <c r="J25" i="1"/>
  <c r="J26" i="1"/>
  <c r="M4" i="1"/>
  <c r="K2" i="1"/>
  <c r="G5" i="1"/>
  <c r="J27" i="1" s="1"/>
  <c r="J2" i="1"/>
  <c r="J23" i="1" s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11" i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11" i="3"/>
  <c r="H6" i="1"/>
  <c r="H6" i="3"/>
  <c r="J22" i="1" l="1"/>
  <c r="J21" i="1"/>
  <c r="N2" i="1"/>
  <c r="K13" i="1" s="1"/>
  <c r="J20" i="1"/>
  <c r="J11" i="1"/>
  <c r="J19" i="1"/>
  <c r="J34" i="1"/>
  <c r="J18" i="1"/>
  <c r="J33" i="1"/>
  <c r="J17" i="1"/>
  <c r="K17" i="1" s="1"/>
  <c r="J32" i="1"/>
  <c r="K32" i="1" s="1"/>
  <c r="J16" i="1"/>
  <c r="K16" i="1" s="1"/>
  <c r="J31" i="1"/>
  <c r="K31" i="1" s="1"/>
  <c r="J15" i="1"/>
  <c r="K15" i="1" s="1"/>
  <c r="J30" i="1"/>
  <c r="K30" i="1" s="1"/>
  <c r="J14" i="1"/>
  <c r="K14" i="1" s="1"/>
  <c r="J29" i="1"/>
  <c r="J13" i="1"/>
  <c r="J28" i="1"/>
  <c r="J12" i="1"/>
  <c r="K27" i="1"/>
  <c r="K19" i="1"/>
  <c r="K21" i="1"/>
  <c r="K24" i="1"/>
  <c r="K12" i="1"/>
  <c r="K28" i="1"/>
  <c r="K18" i="1"/>
  <c r="K23" i="1"/>
  <c r="K26" i="1"/>
  <c r="K33" i="1"/>
  <c r="K34" i="1"/>
  <c r="K20" i="1"/>
  <c r="K22" i="1"/>
  <c r="K25" i="1"/>
  <c r="K11" i="1"/>
  <c r="K29" i="1" l="1"/>
</calcChain>
</file>

<file path=xl/sharedStrings.xml><?xml version="1.0" encoding="utf-8"?>
<sst xmlns="http://schemas.openxmlformats.org/spreadsheetml/2006/main" count="64" uniqueCount="43">
  <si>
    <t>Nœud dif potentiel</t>
  </si>
  <si>
    <t>Ventre dif potentiel</t>
  </si>
  <si>
    <t>ligne 1/4 d'onde</t>
  </si>
  <si>
    <t>ligne 1/2 d'onde</t>
  </si>
  <si>
    <t xml:space="preserve">Tension induite nœud </t>
  </si>
  <si>
    <t>Tension induite ventre</t>
  </si>
  <si>
    <t>Ces mesures sont très approximatives, ca change tous le temps et dur de mesurer la distance précisement. L'inclinaison et le coté par lequel on mesure, impact la mesure</t>
  </si>
  <si>
    <t>Nb = 6 spires</t>
  </si>
  <si>
    <t>Sb</t>
  </si>
  <si>
    <t>offset de /mm</t>
  </si>
  <si>
    <t>Nœud</t>
  </si>
  <si>
    <t>Ventre</t>
  </si>
  <si>
    <t xml:space="preserve">D / mm </t>
  </si>
  <si>
    <t>±0,1</t>
  </si>
  <si>
    <t>±0,3</t>
  </si>
  <si>
    <t>diam bobine / mm ±0,5</t>
  </si>
  <si>
    <t>hauteur spires /mm ±0,5</t>
  </si>
  <si>
    <t>Position / mm ±1</t>
  </si>
  <si>
    <t xml:space="preserve">Mesures </t>
  </si>
  <si>
    <t>Tension / mV ±1</t>
  </si>
  <si>
    <t>Mesure entre les 2 barres de la ligne de Lecher / mm ±0,5</t>
  </si>
  <si>
    <t>Mesure entre les 2 fils Lecher (centre a centre) / mm ±1</t>
  </si>
  <si>
    <t xml:space="preserve">intervalle mesurée </t>
  </si>
  <si>
    <t>33,8 - 80,8</t>
  </si>
  <si>
    <t>centre de la regle de 1m à 16,2 + offset de 1,5</t>
  </si>
  <si>
    <t>Position règle 1m</t>
  </si>
  <si>
    <t xml:space="preserve">Position regle 1 m </t>
  </si>
  <si>
    <t>±1</t>
  </si>
  <si>
    <t xml:space="preserve">mu 0 </t>
  </si>
  <si>
    <t>D / m</t>
  </si>
  <si>
    <t>f</t>
  </si>
  <si>
    <t>a / m</t>
  </si>
  <si>
    <t>Z0</t>
  </si>
  <si>
    <t>Ieff / mA</t>
  </si>
  <si>
    <t xml:space="preserve">Ueff AB / mV </t>
  </si>
  <si>
    <t xml:space="preserve">Il faut déterminer la longueur d'onde et l'onde stationnaire encore </t>
  </si>
  <si>
    <t>rayon a / mm ± 0,5</t>
  </si>
  <si>
    <t>Il faut décaler U de Lambda / 4</t>
  </si>
  <si>
    <t>La deuxieme analyse est exactement la meme que la premiere</t>
  </si>
  <si>
    <t xml:space="preserve">Lambda mesuré </t>
  </si>
  <si>
    <t xml:space="preserve">Lambda / 4 </t>
  </si>
  <si>
    <t>Faire un fit seulon le cos(kx) ou sin(kx) et extraire la longueur d'onde</t>
  </si>
  <si>
    <t xml:space="preserve">K=2pi/lambda ( c'est le nombre d'onde)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</si>
</sst>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8" formatCode="0.000000"/>
    <numFmt numFmtId="169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26159230096238"/>
          <c:y val="7.8703703703703706E-2"/>
          <c:w val="0.82507174103237091"/>
          <c:h val="0.7438735783027121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'Ligne ouvert'!$H$11:$H$34</c:f>
              <c:numCache>
                <c:formatCode>General</c:formatCode>
                <c:ptCount val="24"/>
                <c:pt idx="0">
                  <c:v>80.8</c:v>
                </c:pt>
                <c:pt idx="1">
                  <c:v>78.8</c:v>
                </c:pt>
                <c:pt idx="2">
                  <c:v>76.8</c:v>
                </c:pt>
                <c:pt idx="3">
                  <c:v>74.8</c:v>
                </c:pt>
                <c:pt idx="4">
                  <c:v>72.8</c:v>
                </c:pt>
                <c:pt idx="5">
                  <c:v>70.8</c:v>
                </c:pt>
                <c:pt idx="6">
                  <c:v>68.8</c:v>
                </c:pt>
                <c:pt idx="7">
                  <c:v>66.8</c:v>
                </c:pt>
                <c:pt idx="8">
                  <c:v>64.8</c:v>
                </c:pt>
                <c:pt idx="9">
                  <c:v>62.8</c:v>
                </c:pt>
                <c:pt idx="10">
                  <c:v>60.8</c:v>
                </c:pt>
                <c:pt idx="11">
                  <c:v>58.8</c:v>
                </c:pt>
                <c:pt idx="12">
                  <c:v>56.8</c:v>
                </c:pt>
                <c:pt idx="13">
                  <c:v>54.8</c:v>
                </c:pt>
                <c:pt idx="14">
                  <c:v>52.8</c:v>
                </c:pt>
                <c:pt idx="15">
                  <c:v>50.8</c:v>
                </c:pt>
                <c:pt idx="16">
                  <c:v>48.8</c:v>
                </c:pt>
                <c:pt idx="17">
                  <c:v>46.8</c:v>
                </c:pt>
                <c:pt idx="18">
                  <c:v>44.8</c:v>
                </c:pt>
                <c:pt idx="19">
                  <c:v>42.8</c:v>
                </c:pt>
                <c:pt idx="20">
                  <c:v>40.799999999999997</c:v>
                </c:pt>
                <c:pt idx="21">
                  <c:v>38.799999999999997</c:v>
                </c:pt>
                <c:pt idx="22">
                  <c:v>36.799999999999997</c:v>
                </c:pt>
                <c:pt idx="23">
                  <c:v>34.799999999999997</c:v>
                </c:pt>
              </c:numCache>
            </c:numRef>
          </c:xVal>
          <c:yVal>
            <c:numRef>
              <c:f>'Ligne ouvert'!$G$11:$G$34</c:f>
              <c:numCache>
                <c:formatCode>General</c:formatCode>
                <c:ptCount val="24"/>
                <c:pt idx="0">
                  <c:v>40</c:v>
                </c:pt>
                <c:pt idx="1">
                  <c:v>63</c:v>
                </c:pt>
                <c:pt idx="2">
                  <c:v>94</c:v>
                </c:pt>
                <c:pt idx="3">
                  <c:v>123</c:v>
                </c:pt>
                <c:pt idx="4">
                  <c:v>152</c:v>
                </c:pt>
                <c:pt idx="5">
                  <c:v>175</c:v>
                </c:pt>
                <c:pt idx="6">
                  <c:v>192</c:v>
                </c:pt>
                <c:pt idx="7">
                  <c:v>203</c:v>
                </c:pt>
                <c:pt idx="8">
                  <c:v>198</c:v>
                </c:pt>
                <c:pt idx="9">
                  <c:v>186</c:v>
                </c:pt>
                <c:pt idx="10">
                  <c:v>166</c:v>
                </c:pt>
                <c:pt idx="11">
                  <c:v>138</c:v>
                </c:pt>
                <c:pt idx="12">
                  <c:v>109</c:v>
                </c:pt>
                <c:pt idx="13">
                  <c:v>74</c:v>
                </c:pt>
                <c:pt idx="14">
                  <c:v>38</c:v>
                </c:pt>
                <c:pt idx="15">
                  <c:v>8</c:v>
                </c:pt>
                <c:pt idx="16">
                  <c:v>3</c:v>
                </c:pt>
                <c:pt idx="17">
                  <c:v>25</c:v>
                </c:pt>
                <c:pt idx="18">
                  <c:v>61</c:v>
                </c:pt>
                <c:pt idx="19">
                  <c:v>96</c:v>
                </c:pt>
                <c:pt idx="20">
                  <c:v>131</c:v>
                </c:pt>
                <c:pt idx="21">
                  <c:v>165</c:v>
                </c:pt>
                <c:pt idx="22">
                  <c:v>192</c:v>
                </c:pt>
                <c:pt idx="23">
                  <c:v>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6-4546-A749-9FACD0DE0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08464"/>
        <c:axId val="1172891023"/>
      </c:scatterChart>
      <c:valAx>
        <c:axId val="2605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Position /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2891023"/>
        <c:crosses val="autoZero"/>
        <c:crossBetween val="midCat"/>
      </c:valAx>
      <c:valAx>
        <c:axId val="117289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Tension /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0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UAB eff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'Ligne ouvert'!$H$11:$H$35</c:f>
              <c:numCache>
                <c:formatCode>General</c:formatCode>
                <c:ptCount val="25"/>
                <c:pt idx="0">
                  <c:v>80.8</c:v>
                </c:pt>
                <c:pt idx="1">
                  <c:v>78.8</c:v>
                </c:pt>
                <c:pt idx="2">
                  <c:v>76.8</c:v>
                </c:pt>
                <c:pt idx="3">
                  <c:v>74.8</c:v>
                </c:pt>
                <c:pt idx="4">
                  <c:v>72.8</c:v>
                </c:pt>
                <c:pt idx="5">
                  <c:v>70.8</c:v>
                </c:pt>
                <c:pt idx="6">
                  <c:v>68.8</c:v>
                </c:pt>
                <c:pt idx="7">
                  <c:v>66.8</c:v>
                </c:pt>
                <c:pt idx="8">
                  <c:v>64.8</c:v>
                </c:pt>
                <c:pt idx="9">
                  <c:v>62.8</c:v>
                </c:pt>
                <c:pt idx="10">
                  <c:v>60.8</c:v>
                </c:pt>
                <c:pt idx="11">
                  <c:v>58.8</c:v>
                </c:pt>
                <c:pt idx="12">
                  <c:v>56.8</c:v>
                </c:pt>
                <c:pt idx="13">
                  <c:v>54.8</c:v>
                </c:pt>
                <c:pt idx="14">
                  <c:v>52.8</c:v>
                </c:pt>
                <c:pt idx="15">
                  <c:v>50.8</c:v>
                </c:pt>
                <c:pt idx="16">
                  <c:v>48.8</c:v>
                </c:pt>
                <c:pt idx="17">
                  <c:v>46.8</c:v>
                </c:pt>
                <c:pt idx="18">
                  <c:v>44.8</c:v>
                </c:pt>
                <c:pt idx="19">
                  <c:v>42.8</c:v>
                </c:pt>
                <c:pt idx="20">
                  <c:v>40.799999999999997</c:v>
                </c:pt>
                <c:pt idx="21">
                  <c:v>38.799999999999997</c:v>
                </c:pt>
                <c:pt idx="22">
                  <c:v>36.799999999999997</c:v>
                </c:pt>
                <c:pt idx="23">
                  <c:v>34.799999999999997</c:v>
                </c:pt>
                <c:pt idx="24">
                  <c:v>33.799999999999997</c:v>
                </c:pt>
              </c:numCache>
            </c:numRef>
          </c:xVal>
          <c:yVal>
            <c:numRef>
              <c:f>'Ligne ouvert'!$K$11:$K$34</c:f>
              <c:numCache>
                <c:formatCode>0.00000</c:formatCode>
                <c:ptCount val="24"/>
                <c:pt idx="0">
                  <c:v>0.3648486393909593</c:v>
                </c:pt>
                <c:pt idx="1">
                  <c:v>0.57463660704076092</c:v>
                </c:pt>
                <c:pt idx="2">
                  <c:v>0.85739430256875437</c:v>
                </c:pt>
                <c:pt idx="3">
                  <c:v>1.1219095661271998</c:v>
                </c:pt>
                <c:pt idx="4">
                  <c:v>1.3864248296856454</c:v>
                </c:pt>
                <c:pt idx="5">
                  <c:v>1.596212797335447</c:v>
                </c:pt>
                <c:pt idx="6">
                  <c:v>1.7512734690766043</c:v>
                </c:pt>
                <c:pt idx="7">
                  <c:v>1.8516068449091185</c:v>
                </c:pt>
                <c:pt idx="8">
                  <c:v>1.8060007649852485</c:v>
                </c:pt>
                <c:pt idx="9">
                  <c:v>1.6965461731679607</c:v>
                </c:pt>
                <c:pt idx="10">
                  <c:v>1.514121853472481</c:v>
                </c:pt>
                <c:pt idx="11">
                  <c:v>1.2587278058988096</c:v>
                </c:pt>
                <c:pt idx="12">
                  <c:v>0.99421254234036405</c:v>
                </c:pt>
                <c:pt idx="13">
                  <c:v>0.6749699828732747</c:v>
                </c:pt>
                <c:pt idx="14">
                  <c:v>0.34660620742141135</c:v>
                </c:pt>
                <c:pt idx="15">
                  <c:v>7.2969727878191865E-2</c:v>
                </c:pt>
                <c:pt idx="16">
                  <c:v>2.7363647954321942E-2</c:v>
                </c:pt>
                <c:pt idx="17">
                  <c:v>0.22803039961934957</c:v>
                </c:pt>
                <c:pt idx="18">
                  <c:v>0.55639417507121292</c:v>
                </c:pt>
                <c:pt idx="19">
                  <c:v>0.87563673453830215</c:v>
                </c:pt>
                <c:pt idx="20">
                  <c:v>1.1948792940053916</c:v>
                </c:pt>
                <c:pt idx="21">
                  <c:v>1.5050006374877072</c:v>
                </c:pt>
                <c:pt idx="22">
                  <c:v>1.7512734690766043</c:v>
                </c:pt>
                <c:pt idx="23">
                  <c:v>1.03069740627946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9E-4E43-8ADD-2591A19B3084}"/>
            </c:ext>
          </c:extLst>
        </c:ser>
        <c:ser>
          <c:idx val="1"/>
          <c:order val="1"/>
          <c:tx>
            <c:v>Ieff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'Ligne ouvert'!$H$11:$H$34</c:f>
              <c:numCache>
                <c:formatCode>General</c:formatCode>
                <c:ptCount val="24"/>
                <c:pt idx="0">
                  <c:v>80.8</c:v>
                </c:pt>
                <c:pt idx="1">
                  <c:v>78.8</c:v>
                </c:pt>
                <c:pt idx="2">
                  <c:v>76.8</c:v>
                </c:pt>
                <c:pt idx="3">
                  <c:v>74.8</c:v>
                </c:pt>
                <c:pt idx="4">
                  <c:v>72.8</c:v>
                </c:pt>
                <c:pt idx="5">
                  <c:v>70.8</c:v>
                </c:pt>
                <c:pt idx="6">
                  <c:v>68.8</c:v>
                </c:pt>
                <c:pt idx="7">
                  <c:v>66.8</c:v>
                </c:pt>
                <c:pt idx="8">
                  <c:v>64.8</c:v>
                </c:pt>
                <c:pt idx="9">
                  <c:v>62.8</c:v>
                </c:pt>
                <c:pt idx="10">
                  <c:v>60.8</c:v>
                </c:pt>
                <c:pt idx="11">
                  <c:v>58.8</c:v>
                </c:pt>
                <c:pt idx="12">
                  <c:v>56.8</c:v>
                </c:pt>
                <c:pt idx="13">
                  <c:v>54.8</c:v>
                </c:pt>
                <c:pt idx="14">
                  <c:v>52.8</c:v>
                </c:pt>
                <c:pt idx="15">
                  <c:v>50.8</c:v>
                </c:pt>
                <c:pt idx="16">
                  <c:v>48.8</c:v>
                </c:pt>
                <c:pt idx="17">
                  <c:v>46.8</c:v>
                </c:pt>
                <c:pt idx="18">
                  <c:v>44.8</c:v>
                </c:pt>
                <c:pt idx="19">
                  <c:v>42.8</c:v>
                </c:pt>
                <c:pt idx="20">
                  <c:v>40.799999999999997</c:v>
                </c:pt>
                <c:pt idx="21">
                  <c:v>38.799999999999997</c:v>
                </c:pt>
                <c:pt idx="22">
                  <c:v>36.799999999999997</c:v>
                </c:pt>
                <c:pt idx="23">
                  <c:v>34.799999999999997</c:v>
                </c:pt>
              </c:numCache>
            </c:numRef>
          </c:xVal>
          <c:yVal>
            <c:numRef>
              <c:f>'Ligne ouvert'!$J$11:$J$34</c:f>
              <c:numCache>
                <c:formatCode>0.000000</c:formatCode>
                <c:ptCount val="24"/>
                <c:pt idx="0">
                  <c:v>1.383715498229239</c:v>
                </c:pt>
                <c:pt idx="1">
                  <c:v>2.1793519097110514</c:v>
                </c:pt>
                <c:pt idx="2">
                  <c:v>3.2517314208387118</c:v>
                </c:pt>
                <c:pt idx="3">
                  <c:v>4.2549251570549096</c:v>
                </c:pt>
                <c:pt idx="4">
                  <c:v>5.2581188932711083</c:v>
                </c:pt>
                <c:pt idx="5">
                  <c:v>6.0537553047529205</c:v>
                </c:pt>
                <c:pt idx="6">
                  <c:v>6.6418343915003462</c:v>
                </c:pt>
                <c:pt idx="7">
                  <c:v>7.022356153513388</c:v>
                </c:pt>
                <c:pt idx="8">
                  <c:v>6.8493917162347326</c:v>
                </c:pt>
                <c:pt idx="9">
                  <c:v>6.4342770667659615</c:v>
                </c:pt>
                <c:pt idx="10">
                  <c:v>5.7424193176513416</c:v>
                </c:pt>
                <c:pt idx="11">
                  <c:v>4.7738184688908749</c:v>
                </c:pt>
                <c:pt idx="12">
                  <c:v>3.7706247326746762</c:v>
                </c:pt>
                <c:pt idx="13">
                  <c:v>2.559873671724092</c:v>
                </c:pt>
                <c:pt idx="14">
                  <c:v>1.3145297233177771</c:v>
                </c:pt>
                <c:pt idx="15">
                  <c:v>0.27674309964584781</c:v>
                </c:pt>
                <c:pt idx="16">
                  <c:v>0.10377866236719291</c:v>
                </c:pt>
                <c:pt idx="17">
                  <c:v>0.86482218639327435</c:v>
                </c:pt>
                <c:pt idx="18">
                  <c:v>2.1101661347995893</c:v>
                </c:pt>
                <c:pt idx="19">
                  <c:v>3.3209171957501731</c:v>
                </c:pt>
                <c:pt idx="20">
                  <c:v>4.5316682567007573</c:v>
                </c:pt>
                <c:pt idx="21">
                  <c:v>5.7078264301956114</c:v>
                </c:pt>
                <c:pt idx="22">
                  <c:v>6.6418343915003462</c:v>
                </c:pt>
                <c:pt idx="23">
                  <c:v>3.9089962824976006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E-4E43-8ADD-2591A19B3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03295"/>
        <c:axId val="1222901855"/>
      </c:scatterChart>
      <c:valAx>
        <c:axId val="122290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Distance</a:t>
                </a:r>
                <a:r>
                  <a:rPr lang="fr-CH" baseline="0"/>
                  <a:t> /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2901855"/>
        <c:crosses val="autoZero"/>
        <c:crossBetween val="midCat"/>
      </c:valAx>
      <c:valAx>
        <c:axId val="122290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Ieff / mA</a:t>
                </a:r>
              </a:p>
              <a:p>
                <a:pPr>
                  <a:defRPr/>
                </a:pPr>
                <a:r>
                  <a:rPr lang="fr-CH"/>
                  <a:t>Ueff AB /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2903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'Ligne fermée'!$H$11:$H$34</c:f>
              <c:numCache>
                <c:formatCode>General</c:formatCode>
                <c:ptCount val="24"/>
                <c:pt idx="0">
                  <c:v>80.8</c:v>
                </c:pt>
                <c:pt idx="1">
                  <c:v>78.8</c:v>
                </c:pt>
                <c:pt idx="2">
                  <c:v>76.8</c:v>
                </c:pt>
                <c:pt idx="3">
                  <c:v>74.8</c:v>
                </c:pt>
                <c:pt idx="4">
                  <c:v>72.8</c:v>
                </c:pt>
                <c:pt idx="5">
                  <c:v>70.8</c:v>
                </c:pt>
                <c:pt idx="6">
                  <c:v>68.8</c:v>
                </c:pt>
                <c:pt idx="7">
                  <c:v>66.8</c:v>
                </c:pt>
                <c:pt idx="8">
                  <c:v>64.8</c:v>
                </c:pt>
                <c:pt idx="9">
                  <c:v>62.8</c:v>
                </c:pt>
                <c:pt idx="10">
                  <c:v>60.8</c:v>
                </c:pt>
                <c:pt idx="11">
                  <c:v>58.8</c:v>
                </c:pt>
                <c:pt idx="12">
                  <c:v>56.8</c:v>
                </c:pt>
                <c:pt idx="13">
                  <c:v>54.8</c:v>
                </c:pt>
                <c:pt idx="14">
                  <c:v>52.8</c:v>
                </c:pt>
                <c:pt idx="15">
                  <c:v>50.8</c:v>
                </c:pt>
                <c:pt idx="16">
                  <c:v>48.8</c:v>
                </c:pt>
                <c:pt idx="17">
                  <c:v>46.8</c:v>
                </c:pt>
                <c:pt idx="18">
                  <c:v>44.8</c:v>
                </c:pt>
                <c:pt idx="19">
                  <c:v>42.8</c:v>
                </c:pt>
                <c:pt idx="20">
                  <c:v>40.799999999999997</c:v>
                </c:pt>
                <c:pt idx="21">
                  <c:v>38.799999999999997</c:v>
                </c:pt>
                <c:pt idx="22">
                  <c:v>36.799999999999997</c:v>
                </c:pt>
                <c:pt idx="23">
                  <c:v>34.799999999999997</c:v>
                </c:pt>
              </c:numCache>
            </c:numRef>
          </c:xVal>
          <c:yVal>
            <c:numRef>
              <c:f>'Ligne fermée'!$G$11:$G$34</c:f>
              <c:numCache>
                <c:formatCode>General</c:formatCode>
                <c:ptCount val="24"/>
                <c:pt idx="0">
                  <c:v>22</c:v>
                </c:pt>
                <c:pt idx="1">
                  <c:v>55.5</c:v>
                </c:pt>
                <c:pt idx="2">
                  <c:v>92</c:v>
                </c:pt>
                <c:pt idx="3">
                  <c:v>131</c:v>
                </c:pt>
                <c:pt idx="4">
                  <c:v>165</c:v>
                </c:pt>
                <c:pt idx="5">
                  <c:v>192</c:v>
                </c:pt>
                <c:pt idx="6">
                  <c:v>212</c:v>
                </c:pt>
                <c:pt idx="7">
                  <c:v>221</c:v>
                </c:pt>
                <c:pt idx="8">
                  <c:v>218</c:v>
                </c:pt>
                <c:pt idx="9">
                  <c:v>206</c:v>
                </c:pt>
                <c:pt idx="10">
                  <c:v>186</c:v>
                </c:pt>
                <c:pt idx="11">
                  <c:v>160</c:v>
                </c:pt>
                <c:pt idx="12">
                  <c:v>126</c:v>
                </c:pt>
                <c:pt idx="13">
                  <c:v>90</c:v>
                </c:pt>
                <c:pt idx="14">
                  <c:v>51</c:v>
                </c:pt>
                <c:pt idx="15">
                  <c:v>16</c:v>
                </c:pt>
                <c:pt idx="16">
                  <c:v>1</c:v>
                </c:pt>
                <c:pt idx="17">
                  <c:v>21</c:v>
                </c:pt>
                <c:pt idx="18">
                  <c:v>56</c:v>
                </c:pt>
                <c:pt idx="19">
                  <c:v>93</c:v>
                </c:pt>
                <c:pt idx="20">
                  <c:v>130</c:v>
                </c:pt>
                <c:pt idx="21">
                  <c:v>162</c:v>
                </c:pt>
                <c:pt idx="22">
                  <c:v>187</c:v>
                </c:pt>
                <c:pt idx="23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0-4953-9F80-AC68B3708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03120"/>
        <c:axId val="1140361711"/>
      </c:scatterChart>
      <c:valAx>
        <c:axId val="25580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Position</a:t>
                </a:r>
                <a:r>
                  <a:rPr lang="fr-CH" baseline="0"/>
                  <a:t> /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40361711"/>
        <c:crosses val="autoZero"/>
        <c:crossBetween val="midCat"/>
      </c:valAx>
      <c:valAx>
        <c:axId val="11403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Tension</a:t>
                </a:r>
                <a:r>
                  <a:rPr lang="fr-CH" baseline="0"/>
                  <a:t> / 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580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14</xdr:row>
      <xdr:rowOff>177800</xdr:rowOff>
    </xdr:from>
    <xdr:to>
      <xdr:col>4</xdr:col>
      <xdr:colOff>412750</xdr:colOff>
      <xdr:row>29</xdr:row>
      <xdr:rowOff>158750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332637-A7C1-2CC3-6644-3347B2DC9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641048</xdr:colOff>
      <xdr:row>11</xdr:row>
      <xdr:rowOff>173566</xdr:rowOff>
    </xdr:from>
    <xdr:to>
      <xdr:col>17</xdr:col>
      <xdr:colOff>641048</xdr:colOff>
      <xdr:row>27</xdr:row>
      <xdr:rowOff>13909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B25EB1-3F42-0184-3586-2A102A413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17</xdr:row>
      <xdr:rowOff>114300</xdr:rowOff>
    </xdr:from>
    <xdr:to>
      <xdr:col>3</xdr:col>
      <xdr:colOff>1273175</xdr:colOff>
      <xdr:row>32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68E5CE-E342-69B2-C2B8-0B17B217A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F75F-5E79-4226-A18B-CFB9F9A49EC0}">
  <dimension ref="A1:O48"/>
  <sheetViews>
    <sheetView tabSelected="1" zoomScale="42" zoomScaleNormal="100" workbookViewId="0">
      <selection activeCell="N32" sqref="N32"/>
    </sheetView>
  </sheetViews>
  <sheetFormatPr baseColWidth="10" defaultRowHeight="14.5" x14ac:dyDescent="0.35"/>
  <cols>
    <col min="1" max="1" width="15.6328125" bestFit="1" customWidth="1"/>
    <col min="2" max="2" width="16.1796875" bestFit="1" customWidth="1"/>
    <col min="3" max="3" width="18.453125" bestFit="1" customWidth="1"/>
    <col min="4" max="4" width="18.54296875" bestFit="1" customWidth="1"/>
    <col min="6" max="6" width="14.54296875" bestFit="1" customWidth="1"/>
    <col min="7" max="7" width="13.453125" bestFit="1" customWidth="1"/>
    <col min="8" max="8" width="20.453125" bestFit="1" customWidth="1"/>
    <col min="10" max="10" width="12.1796875" bestFit="1" customWidth="1"/>
  </cols>
  <sheetData>
    <row r="1" spans="1:15" x14ac:dyDescent="0.35">
      <c r="A1" s="2" t="s">
        <v>2</v>
      </c>
      <c r="B1" s="2"/>
      <c r="C1" s="2" t="s">
        <v>3</v>
      </c>
      <c r="D1" s="2"/>
      <c r="F1" t="s">
        <v>7</v>
      </c>
      <c r="G1" t="s">
        <v>12</v>
      </c>
      <c r="H1" t="s">
        <v>16</v>
      </c>
      <c r="I1" t="s">
        <v>9</v>
      </c>
      <c r="J1" t="s">
        <v>28</v>
      </c>
      <c r="K1" t="s">
        <v>30</v>
      </c>
      <c r="M1" t="s">
        <v>36</v>
      </c>
      <c r="N1" t="s">
        <v>32</v>
      </c>
      <c r="O1" t="s">
        <v>39</v>
      </c>
    </row>
    <row r="2" spans="1:15" x14ac:dyDescent="0.35">
      <c r="A2" s="1" t="s">
        <v>0</v>
      </c>
      <c r="B2" t="s">
        <v>1</v>
      </c>
      <c r="C2" t="s">
        <v>4</v>
      </c>
      <c r="D2" t="s">
        <v>5</v>
      </c>
      <c r="F2">
        <v>6</v>
      </c>
      <c r="G2" s="4">
        <v>20</v>
      </c>
      <c r="H2">
        <v>4</v>
      </c>
      <c r="I2">
        <v>40</v>
      </c>
      <c r="J2">
        <f>4*PI()*10^-7</f>
        <v>1.2566370614359173E-6</v>
      </c>
      <c r="K2">
        <f>433.92*10^6</f>
        <v>433920000</v>
      </c>
      <c r="M2">
        <v>2</v>
      </c>
      <c r="N2">
        <f>(377/PI())*LN((G5-M4)/M4)</f>
        <v>263.67316103480914</v>
      </c>
      <c r="O2">
        <v>62</v>
      </c>
    </row>
    <row r="3" spans="1:15" x14ac:dyDescent="0.35">
      <c r="A3">
        <v>28</v>
      </c>
      <c r="B3">
        <v>13</v>
      </c>
      <c r="C3">
        <v>8</v>
      </c>
      <c r="D3">
        <v>23</v>
      </c>
      <c r="G3" t="s">
        <v>27</v>
      </c>
      <c r="H3" t="s">
        <v>15</v>
      </c>
      <c r="I3" t="s">
        <v>14</v>
      </c>
      <c r="M3" t="s">
        <v>31</v>
      </c>
    </row>
    <row r="4" spans="1:15" x14ac:dyDescent="0.35">
      <c r="A4">
        <v>62</v>
      </c>
      <c r="B4">
        <v>45</v>
      </c>
      <c r="C4">
        <v>38</v>
      </c>
      <c r="D4">
        <v>58</v>
      </c>
      <c r="G4" t="s">
        <v>29</v>
      </c>
      <c r="H4">
        <v>7.5</v>
      </c>
      <c r="M4">
        <f>M2*10^-3</f>
        <v>2E-3</v>
      </c>
      <c r="O4" t="s">
        <v>40</v>
      </c>
    </row>
    <row r="5" spans="1:15" x14ac:dyDescent="0.35">
      <c r="B5">
        <v>68</v>
      </c>
      <c r="C5">
        <v>78</v>
      </c>
      <c r="G5">
        <f>G2*10^-3</f>
        <v>0.02</v>
      </c>
      <c r="H5" t="s">
        <v>8</v>
      </c>
      <c r="O5">
        <f>O2/4</f>
        <v>15.5</v>
      </c>
    </row>
    <row r="6" spans="1:15" x14ac:dyDescent="0.35">
      <c r="A6" s="2" t="s">
        <v>6</v>
      </c>
      <c r="B6" s="2"/>
      <c r="C6" s="2"/>
      <c r="D6" s="2"/>
      <c r="H6">
        <f>PI()*((H4*10^-3)/2)^2</f>
        <v>4.4178646691106464E-5</v>
      </c>
    </row>
    <row r="8" spans="1:15" x14ac:dyDescent="0.35">
      <c r="H8" t="s">
        <v>22</v>
      </c>
      <c r="I8" t="s">
        <v>24</v>
      </c>
    </row>
    <row r="9" spans="1:15" x14ac:dyDescent="0.35">
      <c r="A9" t="s">
        <v>20</v>
      </c>
      <c r="B9" t="s">
        <v>21</v>
      </c>
      <c r="F9" s="2" t="s">
        <v>18</v>
      </c>
      <c r="G9" s="2"/>
      <c r="H9" t="s">
        <v>23</v>
      </c>
    </row>
    <row r="10" spans="1:15" x14ac:dyDescent="0.35">
      <c r="A10">
        <v>16.5</v>
      </c>
      <c r="B10">
        <v>20</v>
      </c>
      <c r="F10" t="s">
        <v>17</v>
      </c>
      <c r="G10" t="s">
        <v>19</v>
      </c>
      <c r="H10" t="s">
        <v>26</v>
      </c>
      <c r="J10" t="s">
        <v>33</v>
      </c>
      <c r="K10" t="s">
        <v>34</v>
      </c>
      <c r="N10" t="s">
        <v>35</v>
      </c>
    </row>
    <row r="11" spans="1:15" x14ac:dyDescent="0.35">
      <c r="F11">
        <v>47</v>
      </c>
      <c r="G11">
        <v>40</v>
      </c>
      <c r="H11">
        <f>F11+33.8</f>
        <v>80.8</v>
      </c>
      <c r="J11" s="5">
        <f>(G11*G$5)/(4*J$2*F$2*H$6*K$2)</f>
        <v>1.383715498229239</v>
      </c>
      <c r="K11" s="6">
        <f>N$2*10^-3*J11</f>
        <v>0.3648486393909593</v>
      </c>
    </row>
    <row r="12" spans="1:15" x14ac:dyDescent="0.35">
      <c r="F12">
        <v>45</v>
      </c>
      <c r="G12">
        <v>63</v>
      </c>
      <c r="H12">
        <f t="shared" ref="H12:H37" si="0">F12+33.8</f>
        <v>78.8</v>
      </c>
      <c r="J12" s="5">
        <f t="shared" ref="J12:J34" si="1">(G12*G$5)/(4*J$2*F$2*H$6*K$2)</f>
        <v>2.1793519097110514</v>
      </c>
      <c r="K12" s="6">
        <f t="shared" ref="K12:K34" si="2">N$2*10^-3*J12</f>
        <v>0.57463660704076092</v>
      </c>
    </row>
    <row r="13" spans="1:15" x14ac:dyDescent="0.35">
      <c r="F13">
        <v>43</v>
      </c>
      <c r="G13">
        <v>94</v>
      </c>
      <c r="H13">
        <f t="shared" si="0"/>
        <v>76.8</v>
      </c>
      <c r="J13" s="5">
        <f t="shared" si="1"/>
        <v>3.2517314208387118</v>
      </c>
      <c r="K13" s="6">
        <f t="shared" si="2"/>
        <v>0.85739430256875437</v>
      </c>
    </row>
    <row r="14" spans="1:15" x14ac:dyDescent="0.35">
      <c r="F14">
        <v>41</v>
      </c>
      <c r="G14">
        <v>123</v>
      </c>
      <c r="H14">
        <f t="shared" si="0"/>
        <v>74.8</v>
      </c>
      <c r="J14" s="5">
        <f t="shared" si="1"/>
        <v>4.2549251570549096</v>
      </c>
      <c r="K14" s="6">
        <f t="shared" si="2"/>
        <v>1.1219095661271998</v>
      </c>
    </row>
    <row r="15" spans="1:15" x14ac:dyDescent="0.35">
      <c r="F15">
        <v>39</v>
      </c>
      <c r="G15">
        <v>152</v>
      </c>
      <c r="H15">
        <f t="shared" si="0"/>
        <v>72.8</v>
      </c>
      <c r="J15" s="5">
        <f t="shared" si="1"/>
        <v>5.2581188932711083</v>
      </c>
      <c r="K15" s="6">
        <f t="shared" si="2"/>
        <v>1.3864248296856454</v>
      </c>
    </row>
    <row r="16" spans="1:15" x14ac:dyDescent="0.35">
      <c r="F16">
        <v>37</v>
      </c>
      <c r="G16">
        <v>175</v>
      </c>
      <c r="H16">
        <f t="shared" si="0"/>
        <v>70.8</v>
      </c>
      <c r="J16" s="5">
        <f t="shared" si="1"/>
        <v>6.0537553047529205</v>
      </c>
      <c r="K16" s="6">
        <f t="shared" si="2"/>
        <v>1.596212797335447</v>
      </c>
    </row>
    <row r="17" spans="6:14" x14ac:dyDescent="0.35">
      <c r="F17">
        <v>35</v>
      </c>
      <c r="G17">
        <v>192</v>
      </c>
      <c r="H17">
        <f t="shared" si="0"/>
        <v>68.8</v>
      </c>
      <c r="J17" s="5">
        <f t="shared" si="1"/>
        <v>6.6418343915003462</v>
      </c>
      <c r="K17" s="6">
        <f t="shared" si="2"/>
        <v>1.7512734690766043</v>
      </c>
    </row>
    <row r="18" spans="6:14" x14ac:dyDescent="0.35">
      <c r="F18">
        <v>33</v>
      </c>
      <c r="G18">
        <v>203</v>
      </c>
      <c r="H18">
        <f t="shared" si="0"/>
        <v>66.8</v>
      </c>
      <c r="J18" s="5">
        <f t="shared" si="1"/>
        <v>7.022356153513388</v>
      </c>
      <c r="K18" s="6">
        <f t="shared" si="2"/>
        <v>1.8516068449091185</v>
      </c>
    </row>
    <row r="19" spans="6:14" x14ac:dyDescent="0.35">
      <c r="F19">
        <v>31</v>
      </c>
      <c r="G19">
        <v>198</v>
      </c>
      <c r="H19">
        <f t="shared" si="0"/>
        <v>64.8</v>
      </c>
      <c r="J19" s="5">
        <f t="shared" si="1"/>
        <v>6.8493917162347326</v>
      </c>
      <c r="K19" s="6">
        <f t="shared" si="2"/>
        <v>1.8060007649852485</v>
      </c>
    </row>
    <row r="20" spans="6:14" x14ac:dyDescent="0.35">
      <c r="F20">
        <v>29</v>
      </c>
      <c r="G20">
        <v>186</v>
      </c>
      <c r="H20">
        <f t="shared" si="0"/>
        <v>62.8</v>
      </c>
      <c r="J20" s="5">
        <f t="shared" si="1"/>
        <v>6.4342770667659615</v>
      </c>
      <c r="K20" s="6">
        <f t="shared" si="2"/>
        <v>1.6965461731679607</v>
      </c>
    </row>
    <row r="21" spans="6:14" x14ac:dyDescent="0.35">
      <c r="F21">
        <v>27</v>
      </c>
      <c r="G21">
        <v>166</v>
      </c>
      <c r="H21">
        <f t="shared" si="0"/>
        <v>60.8</v>
      </c>
      <c r="J21" s="5">
        <f t="shared" si="1"/>
        <v>5.7424193176513416</v>
      </c>
      <c r="K21" s="6">
        <f t="shared" si="2"/>
        <v>1.514121853472481</v>
      </c>
    </row>
    <row r="22" spans="6:14" x14ac:dyDescent="0.35">
      <c r="F22">
        <v>25</v>
      </c>
      <c r="G22">
        <v>138</v>
      </c>
      <c r="H22">
        <f t="shared" si="0"/>
        <v>58.8</v>
      </c>
      <c r="J22" s="5">
        <f t="shared" si="1"/>
        <v>4.7738184688908749</v>
      </c>
      <c r="K22" s="6">
        <f t="shared" si="2"/>
        <v>1.2587278058988096</v>
      </c>
    </row>
    <row r="23" spans="6:14" x14ac:dyDescent="0.35">
      <c r="F23">
        <v>23</v>
      </c>
      <c r="G23">
        <v>109</v>
      </c>
      <c r="H23">
        <f t="shared" si="0"/>
        <v>56.8</v>
      </c>
      <c r="J23" s="5">
        <f t="shared" si="1"/>
        <v>3.7706247326746762</v>
      </c>
      <c r="K23" s="6">
        <f t="shared" si="2"/>
        <v>0.99421254234036405</v>
      </c>
    </row>
    <row r="24" spans="6:14" x14ac:dyDescent="0.35">
      <c r="F24">
        <v>21</v>
      </c>
      <c r="G24">
        <v>74</v>
      </c>
      <c r="H24">
        <f t="shared" si="0"/>
        <v>54.8</v>
      </c>
      <c r="J24" s="5">
        <f t="shared" si="1"/>
        <v>2.559873671724092</v>
      </c>
      <c r="K24" s="6">
        <f t="shared" si="2"/>
        <v>0.6749699828732747</v>
      </c>
    </row>
    <row r="25" spans="6:14" x14ac:dyDescent="0.35">
      <c r="F25">
        <v>19</v>
      </c>
      <c r="G25">
        <v>38</v>
      </c>
      <c r="H25">
        <f t="shared" si="0"/>
        <v>52.8</v>
      </c>
      <c r="J25" s="5">
        <f t="shared" si="1"/>
        <v>1.3145297233177771</v>
      </c>
      <c r="K25" s="6">
        <f t="shared" si="2"/>
        <v>0.34660620742141135</v>
      </c>
    </row>
    <row r="26" spans="6:14" x14ac:dyDescent="0.35">
      <c r="F26">
        <v>17</v>
      </c>
      <c r="G26">
        <v>8</v>
      </c>
      <c r="H26">
        <f t="shared" si="0"/>
        <v>50.8</v>
      </c>
      <c r="J26" s="5">
        <f t="shared" si="1"/>
        <v>0.27674309964584781</v>
      </c>
      <c r="K26" s="6">
        <f t="shared" si="2"/>
        <v>7.2969727878191865E-2</v>
      </c>
    </row>
    <row r="27" spans="6:14" x14ac:dyDescent="0.35">
      <c r="F27">
        <v>15</v>
      </c>
      <c r="G27">
        <v>3</v>
      </c>
      <c r="H27">
        <f t="shared" si="0"/>
        <v>48.8</v>
      </c>
      <c r="J27" s="5">
        <f t="shared" si="1"/>
        <v>0.10377866236719291</v>
      </c>
      <c r="K27" s="6">
        <f t="shared" si="2"/>
        <v>2.7363647954321942E-2</v>
      </c>
    </row>
    <row r="28" spans="6:14" x14ac:dyDescent="0.35">
      <c r="F28">
        <v>13</v>
      </c>
      <c r="G28">
        <v>25</v>
      </c>
      <c r="H28">
        <f t="shared" si="0"/>
        <v>46.8</v>
      </c>
      <c r="J28" s="5">
        <f t="shared" si="1"/>
        <v>0.86482218639327435</v>
      </c>
      <c r="K28" s="6">
        <f t="shared" si="2"/>
        <v>0.22803039961934957</v>
      </c>
    </row>
    <row r="29" spans="6:14" x14ac:dyDescent="0.35">
      <c r="F29">
        <v>11</v>
      </c>
      <c r="G29">
        <v>61</v>
      </c>
      <c r="H29">
        <f t="shared" si="0"/>
        <v>44.8</v>
      </c>
      <c r="J29" s="5">
        <f t="shared" si="1"/>
        <v>2.1101661347995893</v>
      </c>
      <c r="K29" s="6">
        <f t="shared" si="2"/>
        <v>0.55639417507121292</v>
      </c>
      <c r="N29" t="s">
        <v>37</v>
      </c>
    </row>
    <row r="30" spans="6:14" x14ac:dyDescent="0.35">
      <c r="F30">
        <v>9</v>
      </c>
      <c r="G30">
        <v>96</v>
      </c>
      <c r="H30">
        <f t="shared" si="0"/>
        <v>42.8</v>
      </c>
      <c r="J30" s="5">
        <f t="shared" si="1"/>
        <v>3.3209171957501731</v>
      </c>
      <c r="K30" s="6">
        <f t="shared" si="2"/>
        <v>0.87563673453830215</v>
      </c>
      <c r="N30" t="s">
        <v>41</v>
      </c>
    </row>
    <row r="31" spans="6:14" x14ac:dyDescent="0.35">
      <c r="F31">
        <v>7</v>
      </c>
      <c r="G31">
        <v>131</v>
      </c>
      <c r="H31">
        <f t="shared" si="0"/>
        <v>40.799999999999997</v>
      </c>
      <c r="J31" s="5">
        <f t="shared" si="1"/>
        <v>4.5316682567007573</v>
      </c>
      <c r="K31" s="6">
        <f t="shared" si="2"/>
        <v>1.1948792940053916</v>
      </c>
      <c r="N31" t="s">
        <v>42</v>
      </c>
    </row>
    <row r="32" spans="6:14" x14ac:dyDescent="0.35">
      <c r="F32">
        <v>5</v>
      </c>
      <c r="G32">
        <v>165</v>
      </c>
      <c r="H32">
        <f t="shared" si="0"/>
        <v>38.799999999999997</v>
      </c>
      <c r="J32" s="5">
        <f t="shared" si="1"/>
        <v>5.7078264301956114</v>
      </c>
      <c r="K32" s="6">
        <f t="shared" si="2"/>
        <v>1.5050006374877072</v>
      </c>
    </row>
    <row r="33" spans="5:11" x14ac:dyDescent="0.35">
      <c r="F33">
        <v>3</v>
      </c>
      <c r="G33">
        <v>192</v>
      </c>
      <c r="H33">
        <f t="shared" si="0"/>
        <v>36.799999999999997</v>
      </c>
      <c r="J33" s="5">
        <f t="shared" si="1"/>
        <v>6.6418343915003462</v>
      </c>
      <c r="K33" s="6">
        <f t="shared" si="2"/>
        <v>1.7512734690766043</v>
      </c>
    </row>
    <row r="34" spans="5:11" x14ac:dyDescent="0.35">
      <c r="F34">
        <v>1</v>
      </c>
      <c r="G34">
        <v>113</v>
      </c>
      <c r="H34">
        <f t="shared" si="0"/>
        <v>34.799999999999997</v>
      </c>
      <c r="J34" s="5">
        <f t="shared" si="1"/>
        <v>3.9089962824976006</v>
      </c>
      <c r="K34" s="6">
        <f t="shared" si="2"/>
        <v>1.03069740627946</v>
      </c>
    </row>
    <row r="35" spans="5:11" x14ac:dyDescent="0.35">
      <c r="H35">
        <f t="shared" si="0"/>
        <v>33.799999999999997</v>
      </c>
    </row>
    <row r="36" spans="5:11" x14ac:dyDescent="0.35">
      <c r="E36" t="s">
        <v>10</v>
      </c>
      <c r="F36">
        <v>15.6</v>
      </c>
      <c r="G36">
        <v>0.4</v>
      </c>
      <c r="H36">
        <f t="shared" si="0"/>
        <v>49.4</v>
      </c>
    </row>
    <row r="37" spans="5:11" x14ac:dyDescent="0.35">
      <c r="E37" t="s">
        <v>11</v>
      </c>
      <c r="F37">
        <v>33.299999999999997</v>
      </c>
      <c r="G37">
        <v>207</v>
      </c>
      <c r="H37">
        <f t="shared" si="0"/>
        <v>67.099999999999994</v>
      </c>
    </row>
    <row r="48" spans="5:11" x14ac:dyDescent="0.35">
      <c r="J48" t="s">
        <v>38</v>
      </c>
    </row>
  </sheetData>
  <mergeCells count="4">
    <mergeCell ref="A1:B1"/>
    <mergeCell ref="C1:D1"/>
    <mergeCell ref="A6:D6"/>
    <mergeCell ref="F9:G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A950-C3FE-470D-A170-AEE6417F1B06}">
  <dimension ref="A1:J142"/>
  <sheetViews>
    <sheetView topLeftCell="A2" zoomScale="58" workbookViewId="0">
      <selection activeCell="E31" sqref="E31"/>
    </sheetView>
  </sheetViews>
  <sheetFormatPr baseColWidth="10" defaultRowHeight="14.5" x14ac:dyDescent="0.35"/>
  <cols>
    <col min="1" max="1" width="15.6328125" bestFit="1" customWidth="1"/>
    <col min="2" max="2" width="16.1796875" bestFit="1" customWidth="1"/>
    <col min="3" max="3" width="18.453125" bestFit="1" customWidth="1"/>
    <col min="4" max="4" width="18.54296875" bestFit="1" customWidth="1"/>
    <col min="6" max="6" width="14.54296875" bestFit="1" customWidth="1"/>
    <col min="7" max="7" width="13.453125" bestFit="1" customWidth="1"/>
    <col min="8" max="8" width="20.453125" bestFit="1" customWidth="1"/>
  </cols>
  <sheetData>
    <row r="1" spans="1:10" x14ac:dyDescent="0.35">
      <c r="A1" s="2" t="s">
        <v>2</v>
      </c>
      <c r="B1" s="2"/>
      <c r="C1" s="2" t="s">
        <v>3</v>
      </c>
      <c r="D1" s="2"/>
      <c r="F1" t="s">
        <v>7</v>
      </c>
      <c r="G1" t="s">
        <v>12</v>
      </c>
      <c r="H1" t="s">
        <v>16</v>
      </c>
      <c r="I1" t="s">
        <v>9</v>
      </c>
    </row>
    <row r="2" spans="1:10" x14ac:dyDescent="0.35">
      <c r="A2" s="1" t="s">
        <v>0</v>
      </c>
      <c r="B2" t="s">
        <v>1</v>
      </c>
      <c r="C2" t="s">
        <v>4</v>
      </c>
      <c r="D2" t="s">
        <v>5</v>
      </c>
      <c r="F2">
        <v>6</v>
      </c>
      <c r="G2" s="3">
        <v>2</v>
      </c>
      <c r="H2">
        <v>4</v>
      </c>
      <c r="I2">
        <v>40</v>
      </c>
    </row>
    <row r="3" spans="1:10" x14ac:dyDescent="0.35">
      <c r="A3">
        <v>25</v>
      </c>
      <c r="B3">
        <v>15</v>
      </c>
      <c r="C3">
        <v>5</v>
      </c>
      <c r="D3">
        <v>25</v>
      </c>
      <c r="G3" t="s">
        <v>13</v>
      </c>
      <c r="H3" t="s">
        <v>15</v>
      </c>
      <c r="I3" t="s">
        <v>14</v>
      </c>
    </row>
    <row r="4" spans="1:10" x14ac:dyDescent="0.35">
      <c r="A4">
        <v>60</v>
      </c>
      <c r="B4">
        <v>45</v>
      </c>
      <c r="C4">
        <v>60</v>
      </c>
      <c r="D4">
        <v>40</v>
      </c>
      <c r="H4">
        <v>7.5</v>
      </c>
    </row>
    <row r="5" spans="1:10" x14ac:dyDescent="0.35">
      <c r="A5">
        <v>95</v>
      </c>
      <c r="B5">
        <v>78</v>
      </c>
      <c r="C5">
        <v>90</v>
      </c>
      <c r="D5">
        <v>75</v>
      </c>
      <c r="H5" t="s">
        <v>8</v>
      </c>
    </row>
    <row r="6" spans="1:10" x14ac:dyDescent="0.35">
      <c r="A6" s="2" t="s">
        <v>6</v>
      </c>
      <c r="B6" s="2"/>
      <c r="C6" s="2"/>
      <c r="D6" s="2"/>
      <c r="H6">
        <f>PI()*((H4*10^-3)/2)^2</f>
        <v>4.4178646691106464E-5</v>
      </c>
    </row>
    <row r="9" spans="1:10" x14ac:dyDescent="0.35">
      <c r="A9" t="s">
        <v>20</v>
      </c>
      <c r="B9" t="s">
        <v>21</v>
      </c>
      <c r="F9" s="2" t="s">
        <v>18</v>
      </c>
      <c r="G9" s="2"/>
    </row>
    <row r="10" spans="1:10" x14ac:dyDescent="0.35">
      <c r="A10">
        <v>16.5</v>
      </c>
      <c r="B10">
        <v>20</v>
      </c>
      <c r="F10" t="s">
        <v>17</v>
      </c>
      <c r="G10" t="s">
        <v>19</v>
      </c>
      <c r="H10" t="s">
        <v>25</v>
      </c>
      <c r="J10">
        <v>1</v>
      </c>
    </row>
    <row r="11" spans="1:10" x14ac:dyDescent="0.35">
      <c r="F11">
        <v>47</v>
      </c>
      <c r="G11">
        <v>22</v>
      </c>
      <c r="H11">
        <f>'Ligne fermée'!F11+33.8</f>
        <v>80.8</v>
      </c>
      <c r="J11">
        <v>2</v>
      </c>
    </row>
    <row r="12" spans="1:10" x14ac:dyDescent="0.35">
      <c r="F12">
        <v>45</v>
      </c>
      <c r="G12">
        <v>55.5</v>
      </c>
      <c r="H12">
        <f>'Ligne fermée'!F12+33.8</f>
        <v>78.8</v>
      </c>
      <c r="J12">
        <v>3</v>
      </c>
    </row>
    <row r="13" spans="1:10" x14ac:dyDescent="0.35">
      <c r="F13">
        <v>43</v>
      </c>
      <c r="G13">
        <v>92</v>
      </c>
      <c r="H13">
        <f>'Ligne fermée'!F13+33.8</f>
        <v>76.8</v>
      </c>
      <c r="J13">
        <v>4</v>
      </c>
    </row>
    <row r="14" spans="1:10" x14ac:dyDescent="0.35">
      <c r="F14">
        <v>41</v>
      </c>
      <c r="G14">
        <v>131</v>
      </c>
      <c r="H14">
        <f>'Ligne fermée'!F14+33.8</f>
        <v>74.8</v>
      </c>
      <c r="J14">
        <v>5</v>
      </c>
    </row>
    <row r="15" spans="1:10" x14ac:dyDescent="0.35">
      <c r="F15">
        <v>39</v>
      </c>
      <c r="G15">
        <v>165</v>
      </c>
      <c r="H15">
        <f>'Ligne fermée'!F15+33.8</f>
        <v>72.8</v>
      </c>
      <c r="J15">
        <v>6</v>
      </c>
    </row>
    <row r="16" spans="1:10" x14ac:dyDescent="0.35">
      <c r="F16">
        <v>37</v>
      </c>
      <c r="G16">
        <v>192</v>
      </c>
      <c r="H16">
        <f>'Ligne fermée'!F16+33.8</f>
        <v>70.8</v>
      </c>
      <c r="J16">
        <v>7</v>
      </c>
    </row>
    <row r="17" spans="6:10" x14ac:dyDescent="0.35">
      <c r="F17">
        <v>35</v>
      </c>
      <c r="G17">
        <v>212</v>
      </c>
      <c r="H17">
        <f>'Ligne fermée'!F17+33.8</f>
        <v>68.8</v>
      </c>
      <c r="J17">
        <v>8</v>
      </c>
    </row>
    <row r="18" spans="6:10" x14ac:dyDescent="0.35">
      <c r="F18">
        <v>33</v>
      </c>
      <c r="G18">
        <v>221</v>
      </c>
      <c r="H18">
        <f>'Ligne fermée'!F18+33.8</f>
        <v>66.8</v>
      </c>
      <c r="J18">
        <v>9</v>
      </c>
    </row>
    <row r="19" spans="6:10" x14ac:dyDescent="0.35">
      <c r="F19">
        <v>31</v>
      </c>
      <c r="G19">
        <v>218</v>
      </c>
      <c r="H19">
        <f>'Ligne fermée'!F19+33.8</f>
        <v>64.8</v>
      </c>
      <c r="J19">
        <v>10</v>
      </c>
    </row>
    <row r="20" spans="6:10" x14ac:dyDescent="0.35">
      <c r="F20">
        <v>29</v>
      </c>
      <c r="G20">
        <v>206</v>
      </c>
      <c r="H20">
        <f>'Ligne fermée'!F20+33.8</f>
        <v>62.8</v>
      </c>
      <c r="J20">
        <v>11</v>
      </c>
    </row>
    <row r="21" spans="6:10" x14ac:dyDescent="0.35">
      <c r="F21">
        <v>27</v>
      </c>
      <c r="G21">
        <v>186</v>
      </c>
      <c r="H21">
        <f>'Ligne fermée'!F21+33.8</f>
        <v>60.8</v>
      </c>
      <c r="J21">
        <v>12</v>
      </c>
    </row>
    <row r="22" spans="6:10" x14ac:dyDescent="0.35">
      <c r="F22">
        <v>25</v>
      </c>
      <c r="G22">
        <v>160</v>
      </c>
      <c r="H22">
        <f>'Ligne fermée'!F22+33.8</f>
        <v>58.8</v>
      </c>
      <c r="J22">
        <v>13</v>
      </c>
    </row>
    <row r="23" spans="6:10" x14ac:dyDescent="0.35">
      <c r="F23">
        <v>23</v>
      </c>
      <c r="G23">
        <v>126</v>
      </c>
      <c r="H23">
        <f>'Ligne fermée'!F23+33.8</f>
        <v>56.8</v>
      </c>
      <c r="J23">
        <v>14</v>
      </c>
    </row>
    <row r="24" spans="6:10" x14ac:dyDescent="0.35">
      <c r="F24">
        <v>21</v>
      </c>
      <c r="G24">
        <v>90</v>
      </c>
      <c r="H24">
        <f>'Ligne fermée'!F24+33.8</f>
        <v>54.8</v>
      </c>
      <c r="J24">
        <v>15</v>
      </c>
    </row>
    <row r="25" spans="6:10" x14ac:dyDescent="0.35">
      <c r="F25">
        <v>19</v>
      </c>
      <c r="G25">
        <v>51</v>
      </c>
      <c r="H25">
        <f>'Ligne fermée'!F25+33.8</f>
        <v>52.8</v>
      </c>
      <c r="J25">
        <v>16</v>
      </c>
    </row>
    <row r="26" spans="6:10" x14ac:dyDescent="0.35">
      <c r="F26">
        <v>17</v>
      </c>
      <c r="G26">
        <v>16</v>
      </c>
      <c r="H26">
        <f>'Ligne fermée'!F26+33.8</f>
        <v>50.8</v>
      </c>
      <c r="J26">
        <v>17</v>
      </c>
    </row>
    <row r="27" spans="6:10" x14ac:dyDescent="0.35">
      <c r="F27">
        <v>15</v>
      </c>
      <c r="G27">
        <v>1</v>
      </c>
      <c r="H27">
        <f>'Ligne fermée'!F27+33.8</f>
        <v>48.8</v>
      </c>
      <c r="J27">
        <v>18</v>
      </c>
    </row>
    <row r="28" spans="6:10" x14ac:dyDescent="0.35">
      <c r="F28">
        <v>13</v>
      </c>
      <c r="G28">
        <v>21</v>
      </c>
      <c r="H28">
        <f>'Ligne fermée'!F28+33.8</f>
        <v>46.8</v>
      </c>
      <c r="J28">
        <v>19</v>
      </c>
    </row>
    <row r="29" spans="6:10" x14ac:dyDescent="0.35">
      <c r="F29">
        <v>11</v>
      </c>
      <c r="G29">
        <v>56</v>
      </c>
      <c r="H29">
        <f>'Ligne fermée'!F29+33.8</f>
        <v>44.8</v>
      </c>
      <c r="J29">
        <v>20</v>
      </c>
    </row>
    <row r="30" spans="6:10" x14ac:dyDescent="0.35">
      <c r="F30">
        <v>9</v>
      </c>
      <c r="G30">
        <v>93</v>
      </c>
      <c r="H30">
        <f>'Ligne fermée'!F30+33.8</f>
        <v>42.8</v>
      </c>
      <c r="J30">
        <v>21</v>
      </c>
    </row>
    <row r="31" spans="6:10" x14ac:dyDescent="0.35">
      <c r="F31">
        <v>7</v>
      </c>
      <c r="G31">
        <v>130</v>
      </c>
      <c r="H31">
        <f>'Ligne fermée'!F31+33.8</f>
        <v>40.799999999999997</v>
      </c>
      <c r="J31">
        <v>22</v>
      </c>
    </row>
    <row r="32" spans="6:10" x14ac:dyDescent="0.35">
      <c r="F32">
        <v>5</v>
      </c>
      <c r="G32">
        <v>162</v>
      </c>
      <c r="H32">
        <f>'Ligne fermée'!F32+33.8</f>
        <v>38.799999999999997</v>
      </c>
      <c r="J32">
        <v>23</v>
      </c>
    </row>
    <row r="33" spans="5:10" x14ac:dyDescent="0.35">
      <c r="F33">
        <v>3</v>
      </c>
      <c r="G33">
        <v>187</v>
      </c>
      <c r="H33">
        <f>'Ligne fermée'!F33+33.8</f>
        <v>36.799999999999997</v>
      </c>
      <c r="J33">
        <v>24</v>
      </c>
    </row>
    <row r="34" spans="5:10" x14ac:dyDescent="0.35">
      <c r="F34">
        <v>1</v>
      </c>
      <c r="G34">
        <v>207</v>
      </c>
      <c r="H34">
        <f>'Ligne fermée'!F34+33.8</f>
        <v>34.799999999999997</v>
      </c>
      <c r="J34">
        <v>25</v>
      </c>
    </row>
    <row r="35" spans="5:10" x14ac:dyDescent="0.35">
      <c r="H35">
        <f>'Ligne fermée'!F35+33.8</f>
        <v>33.799999999999997</v>
      </c>
      <c r="J35">
        <v>26</v>
      </c>
    </row>
    <row r="36" spans="5:10" x14ac:dyDescent="0.35">
      <c r="E36" t="s">
        <v>10</v>
      </c>
      <c r="F36">
        <v>15</v>
      </c>
      <c r="G36">
        <v>1</v>
      </c>
      <c r="H36">
        <f>'Ligne fermée'!F36+33.8</f>
        <v>48.8</v>
      </c>
      <c r="J36">
        <v>27</v>
      </c>
    </row>
    <row r="37" spans="5:10" x14ac:dyDescent="0.35">
      <c r="E37" t="s">
        <v>11</v>
      </c>
      <c r="F37">
        <v>33</v>
      </c>
      <c r="G37">
        <v>221</v>
      </c>
      <c r="H37">
        <f>'Ligne fermée'!F37+33.8</f>
        <v>66.8</v>
      </c>
      <c r="J37">
        <v>28</v>
      </c>
    </row>
    <row r="38" spans="5:10" x14ac:dyDescent="0.35">
      <c r="J38">
        <v>29</v>
      </c>
    </row>
    <row r="39" spans="5:10" x14ac:dyDescent="0.35">
      <c r="J39">
        <v>30</v>
      </c>
    </row>
    <row r="40" spans="5:10" x14ac:dyDescent="0.35">
      <c r="J40">
        <v>31</v>
      </c>
    </row>
    <row r="41" spans="5:10" x14ac:dyDescent="0.35">
      <c r="J41">
        <v>32</v>
      </c>
    </row>
    <row r="42" spans="5:10" x14ac:dyDescent="0.35">
      <c r="J42">
        <v>33</v>
      </c>
    </row>
    <row r="43" spans="5:10" x14ac:dyDescent="0.35">
      <c r="J43">
        <v>34</v>
      </c>
    </row>
    <row r="44" spans="5:10" x14ac:dyDescent="0.35">
      <c r="J44">
        <v>35</v>
      </c>
    </row>
    <row r="45" spans="5:10" x14ac:dyDescent="0.35">
      <c r="J45">
        <v>36</v>
      </c>
    </row>
    <row r="46" spans="5:10" x14ac:dyDescent="0.35">
      <c r="J46">
        <v>37</v>
      </c>
    </row>
    <row r="47" spans="5:10" x14ac:dyDescent="0.35">
      <c r="J47">
        <v>38</v>
      </c>
    </row>
    <row r="48" spans="5:10" x14ac:dyDescent="0.35">
      <c r="J48">
        <v>39</v>
      </c>
    </row>
    <row r="49" spans="10:10" x14ac:dyDescent="0.35">
      <c r="J49">
        <v>40</v>
      </c>
    </row>
    <row r="50" spans="10:10" x14ac:dyDescent="0.35">
      <c r="J50">
        <v>41</v>
      </c>
    </row>
    <row r="51" spans="10:10" x14ac:dyDescent="0.35">
      <c r="J51">
        <v>42</v>
      </c>
    </row>
    <row r="52" spans="10:10" x14ac:dyDescent="0.35">
      <c r="J52">
        <v>43</v>
      </c>
    </row>
    <row r="53" spans="10:10" x14ac:dyDescent="0.35">
      <c r="J53">
        <v>44</v>
      </c>
    </row>
    <row r="54" spans="10:10" x14ac:dyDescent="0.35">
      <c r="J54">
        <v>45</v>
      </c>
    </row>
    <row r="55" spans="10:10" x14ac:dyDescent="0.35">
      <c r="J55">
        <v>46</v>
      </c>
    </row>
    <row r="56" spans="10:10" x14ac:dyDescent="0.35">
      <c r="J56">
        <v>47</v>
      </c>
    </row>
    <row r="57" spans="10:10" x14ac:dyDescent="0.35">
      <c r="J57">
        <v>48</v>
      </c>
    </row>
    <row r="58" spans="10:10" x14ac:dyDescent="0.35">
      <c r="J58">
        <v>49</v>
      </c>
    </row>
    <row r="59" spans="10:10" x14ac:dyDescent="0.35">
      <c r="J59">
        <v>50</v>
      </c>
    </row>
    <row r="60" spans="10:10" x14ac:dyDescent="0.35">
      <c r="J60">
        <v>51</v>
      </c>
    </row>
    <row r="61" spans="10:10" x14ac:dyDescent="0.35">
      <c r="J61">
        <v>52</v>
      </c>
    </row>
    <row r="62" spans="10:10" x14ac:dyDescent="0.35">
      <c r="J62">
        <v>53</v>
      </c>
    </row>
    <row r="63" spans="10:10" x14ac:dyDescent="0.35">
      <c r="J63">
        <v>54</v>
      </c>
    </row>
    <row r="64" spans="10:10" x14ac:dyDescent="0.35">
      <c r="J64">
        <v>55</v>
      </c>
    </row>
    <row r="65" spans="10:10" x14ac:dyDescent="0.35">
      <c r="J65">
        <v>56</v>
      </c>
    </row>
    <row r="66" spans="10:10" x14ac:dyDescent="0.35">
      <c r="J66">
        <v>57</v>
      </c>
    </row>
    <row r="67" spans="10:10" x14ac:dyDescent="0.35">
      <c r="J67">
        <v>58</v>
      </c>
    </row>
    <row r="68" spans="10:10" x14ac:dyDescent="0.35">
      <c r="J68">
        <v>59</v>
      </c>
    </row>
    <row r="69" spans="10:10" x14ac:dyDescent="0.35">
      <c r="J69">
        <v>60</v>
      </c>
    </row>
    <row r="70" spans="10:10" x14ac:dyDescent="0.35">
      <c r="J70">
        <v>61</v>
      </c>
    </row>
    <row r="71" spans="10:10" x14ac:dyDescent="0.35">
      <c r="J71">
        <v>62</v>
      </c>
    </row>
    <row r="72" spans="10:10" x14ac:dyDescent="0.35">
      <c r="J72">
        <v>63</v>
      </c>
    </row>
    <row r="73" spans="10:10" x14ac:dyDescent="0.35">
      <c r="J73">
        <v>64</v>
      </c>
    </row>
    <row r="74" spans="10:10" x14ac:dyDescent="0.35">
      <c r="J74">
        <v>65</v>
      </c>
    </row>
    <row r="75" spans="10:10" x14ac:dyDescent="0.35">
      <c r="J75">
        <v>66</v>
      </c>
    </row>
    <row r="76" spans="10:10" x14ac:dyDescent="0.35">
      <c r="J76">
        <v>67</v>
      </c>
    </row>
    <row r="77" spans="10:10" x14ac:dyDescent="0.35">
      <c r="J77">
        <v>68</v>
      </c>
    </row>
    <row r="78" spans="10:10" x14ac:dyDescent="0.35">
      <c r="J78">
        <v>69</v>
      </c>
    </row>
    <row r="79" spans="10:10" x14ac:dyDescent="0.35">
      <c r="J79">
        <v>70</v>
      </c>
    </row>
    <row r="80" spans="10:10" x14ac:dyDescent="0.35">
      <c r="J80">
        <v>71</v>
      </c>
    </row>
    <row r="81" spans="10:10" x14ac:dyDescent="0.35">
      <c r="J81">
        <v>72</v>
      </c>
    </row>
    <row r="82" spans="10:10" x14ac:dyDescent="0.35">
      <c r="J82">
        <v>73</v>
      </c>
    </row>
    <row r="83" spans="10:10" x14ac:dyDescent="0.35">
      <c r="J83">
        <v>74</v>
      </c>
    </row>
    <row r="84" spans="10:10" x14ac:dyDescent="0.35">
      <c r="J84">
        <v>75</v>
      </c>
    </row>
    <row r="85" spans="10:10" x14ac:dyDescent="0.35">
      <c r="J85">
        <v>76</v>
      </c>
    </row>
    <row r="86" spans="10:10" x14ac:dyDescent="0.35">
      <c r="J86">
        <v>77</v>
      </c>
    </row>
    <row r="87" spans="10:10" x14ac:dyDescent="0.35">
      <c r="J87">
        <v>78</v>
      </c>
    </row>
    <row r="88" spans="10:10" x14ac:dyDescent="0.35">
      <c r="J88">
        <v>79</v>
      </c>
    </row>
    <row r="89" spans="10:10" x14ac:dyDescent="0.35">
      <c r="J89">
        <v>80</v>
      </c>
    </row>
    <row r="90" spans="10:10" x14ac:dyDescent="0.35">
      <c r="J90">
        <v>81</v>
      </c>
    </row>
    <row r="91" spans="10:10" x14ac:dyDescent="0.35">
      <c r="J91">
        <v>82</v>
      </c>
    </row>
    <row r="92" spans="10:10" x14ac:dyDescent="0.35">
      <c r="J92">
        <v>83</v>
      </c>
    </row>
    <row r="93" spans="10:10" x14ac:dyDescent="0.35">
      <c r="J93">
        <v>84</v>
      </c>
    </row>
    <row r="94" spans="10:10" x14ac:dyDescent="0.35">
      <c r="J94">
        <v>85</v>
      </c>
    </row>
    <row r="95" spans="10:10" x14ac:dyDescent="0.35">
      <c r="J95">
        <v>86</v>
      </c>
    </row>
    <row r="96" spans="10:10" x14ac:dyDescent="0.35">
      <c r="J96">
        <v>87</v>
      </c>
    </row>
    <row r="97" spans="10:10" x14ac:dyDescent="0.35">
      <c r="J97">
        <v>88</v>
      </c>
    </row>
    <row r="98" spans="10:10" x14ac:dyDescent="0.35">
      <c r="J98">
        <v>89</v>
      </c>
    </row>
    <row r="99" spans="10:10" x14ac:dyDescent="0.35">
      <c r="J99">
        <v>90</v>
      </c>
    </row>
    <row r="100" spans="10:10" x14ac:dyDescent="0.35">
      <c r="J100">
        <v>91</v>
      </c>
    </row>
    <row r="101" spans="10:10" x14ac:dyDescent="0.35">
      <c r="J101">
        <v>92</v>
      </c>
    </row>
    <row r="102" spans="10:10" x14ac:dyDescent="0.35">
      <c r="J102">
        <v>93</v>
      </c>
    </row>
    <row r="103" spans="10:10" x14ac:dyDescent="0.35">
      <c r="J103">
        <v>94</v>
      </c>
    </row>
    <row r="104" spans="10:10" x14ac:dyDescent="0.35">
      <c r="J104">
        <v>95</v>
      </c>
    </row>
    <row r="105" spans="10:10" x14ac:dyDescent="0.35">
      <c r="J105">
        <v>96</v>
      </c>
    </row>
    <row r="106" spans="10:10" x14ac:dyDescent="0.35">
      <c r="J106">
        <v>97</v>
      </c>
    </row>
    <row r="107" spans="10:10" x14ac:dyDescent="0.35">
      <c r="J107">
        <v>98</v>
      </c>
    </row>
    <row r="108" spans="10:10" x14ac:dyDescent="0.35">
      <c r="J108">
        <v>99</v>
      </c>
    </row>
    <row r="109" spans="10:10" x14ac:dyDescent="0.35">
      <c r="J109">
        <v>100</v>
      </c>
    </row>
    <row r="110" spans="10:10" x14ac:dyDescent="0.35">
      <c r="J110">
        <v>101</v>
      </c>
    </row>
    <row r="111" spans="10:10" x14ac:dyDescent="0.35">
      <c r="J111">
        <v>102</v>
      </c>
    </row>
    <row r="112" spans="10:10" x14ac:dyDescent="0.35">
      <c r="J112">
        <v>103</v>
      </c>
    </row>
    <row r="113" spans="10:10" x14ac:dyDescent="0.35">
      <c r="J113">
        <v>104</v>
      </c>
    </row>
    <row r="114" spans="10:10" x14ac:dyDescent="0.35">
      <c r="J114">
        <v>105</v>
      </c>
    </row>
    <row r="115" spans="10:10" x14ac:dyDescent="0.35">
      <c r="J115">
        <v>106</v>
      </c>
    </row>
    <row r="116" spans="10:10" x14ac:dyDescent="0.35">
      <c r="J116">
        <v>107</v>
      </c>
    </row>
    <row r="117" spans="10:10" x14ac:dyDescent="0.35">
      <c r="J117">
        <v>108</v>
      </c>
    </row>
    <row r="118" spans="10:10" x14ac:dyDescent="0.35">
      <c r="J118">
        <v>109</v>
      </c>
    </row>
    <row r="119" spans="10:10" x14ac:dyDescent="0.35">
      <c r="J119">
        <v>110</v>
      </c>
    </row>
    <row r="120" spans="10:10" x14ac:dyDescent="0.35">
      <c r="J120">
        <v>111</v>
      </c>
    </row>
    <row r="121" spans="10:10" x14ac:dyDescent="0.35">
      <c r="J121">
        <v>112</v>
      </c>
    </row>
    <row r="122" spans="10:10" x14ac:dyDescent="0.35">
      <c r="J122">
        <v>113</v>
      </c>
    </row>
    <row r="123" spans="10:10" x14ac:dyDescent="0.35">
      <c r="J123">
        <v>114</v>
      </c>
    </row>
    <row r="124" spans="10:10" x14ac:dyDescent="0.35">
      <c r="J124">
        <v>115</v>
      </c>
    </row>
    <row r="125" spans="10:10" x14ac:dyDescent="0.35">
      <c r="J125">
        <v>116</v>
      </c>
    </row>
    <row r="126" spans="10:10" x14ac:dyDescent="0.35">
      <c r="J126">
        <v>117</v>
      </c>
    </row>
    <row r="127" spans="10:10" x14ac:dyDescent="0.35">
      <c r="J127">
        <v>118</v>
      </c>
    </row>
    <row r="128" spans="10:10" x14ac:dyDescent="0.35">
      <c r="J128">
        <v>119</v>
      </c>
    </row>
    <row r="129" spans="10:10" x14ac:dyDescent="0.35">
      <c r="J129">
        <v>120</v>
      </c>
    </row>
    <row r="130" spans="10:10" x14ac:dyDescent="0.35">
      <c r="J130">
        <v>121</v>
      </c>
    </row>
    <row r="131" spans="10:10" x14ac:dyDescent="0.35">
      <c r="J131">
        <v>122</v>
      </c>
    </row>
    <row r="132" spans="10:10" x14ac:dyDescent="0.35">
      <c r="J132">
        <v>123</v>
      </c>
    </row>
    <row r="133" spans="10:10" x14ac:dyDescent="0.35">
      <c r="J133">
        <v>124</v>
      </c>
    </row>
    <row r="134" spans="10:10" x14ac:dyDescent="0.35">
      <c r="J134">
        <v>125</v>
      </c>
    </row>
    <row r="135" spans="10:10" x14ac:dyDescent="0.35">
      <c r="J135">
        <v>126</v>
      </c>
    </row>
    <row r="136" spans="10:10" x14ac:dyDescent="0.35">
      <c r="J136">
        <v>127</v>
      </c>
    </row>
    <row r="137" spans="10:10" x14ac:dyDescent="0.35">
      <c r="J137">
        <v>128</v>
      </c>
    </row>
    <row r="138" spans="10:10" x14ac:dyDescent="0.35">
      <c r="J138">
        <v>129</v>
      </c>
    </row>
    <row r="139" spans="10:10" x14ac:dyDescent="0.35">
      <c r="J139">
        <v>130</v>
      </c>
    </row>
    <row r="140" spans="10:10" x14ac:dyDescent="0.35">
      <c r="J140">
        <v>131</v>
      </c>
    </row>
    <row r="141" spans="10:10" x14ac:dyDescent="0.35">
      <c r="J141">
        <v>132</v>
      </c>
    </row>
    <row r="142" spans="10:10" x14ac:dyDescent="0.35">
      <c r="J142">
        <v>133</v>
      </c>
    </row>
  </sheetData>
  <mergeCells count="4">
    <mergeCell ref="A1:B1"/>
    <mergeCell ref="C1:D1"/>
    <mergeCell ref="A6:D6"/>
    <mergeCell ref="F9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Ligne ouvert</vt:lpstr>
      <vt:lpstr>Ligne fermée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 Gauthier</dc:creator>
  <cp:lastModifiedBy>Saura Gauthier</cp:lastModifiedBy>
  <dcterms:created xsi:type="dcterms:W3CDTF">2026-02-25T08:21:03Z</dcterms:created>
  <dcterms:modified xsi:type="dcterms:W3CDTF">2026-02-25T10:43:15Z</dcterms:modified>
</cp:coreProperties>
</file>