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microthech2\"/>
    </mc:Choice>
  </mc:AlternateContent>
  <xr:revisionPtr revIDLastSave="0" documentId="13_ncr:1_{A8240787-7AD3-45A3-BA65-0BD235237B58}" xr6:coauthVersionLast="47" xr6:coauthVersionMax="47" xr10:uidLastSave="{00000000-0000-0000-0000-000000000000}"/>
  <bookViews>
    <workbookView xWindow="28680" yWindow="-120" windowWidth="29040" windowHeight="17520" activeTab="4" xr2:uid="{F36F436B-76D6-4EAB-8BA3-DAFE89C08F9A}"/>
  </bookViews>
  <sheets>
    <sheet name="Exp1" sheetId="1" r:id="rId1"/>
    <sheet name="Exp2_1" sheetId="2" r:id="rId2"/>
    <sheet name="Exp2_3 (3V)" sheetId="3" r:id="rId3"/>
    <sheet name="Exp2_3 (2.5V)" sheetId="4" r:id="rId4"/>
    <sheet name="Exp2_3 (5V)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9" i="5" l="1"/>
  <c r="D39" i="5"/>
  <c r="B67" i="5"/>
  <c r="C67" i="5" s="1"/>
  <c r="D67" i="5" s="1"/>
  <c r="B66" i="5"/>
  <c r="C66" i="5" s="1"/>
  <c r="D66" i="5" s="1"/>
  <c r="B65" i="5"/>
  <c r="C65" i="5" s="1"/>
  <c r="D65" i="5" s="1"/>
  <c r="B64" i="5"/>
  <c r="C64" i="5" s="1"/>
  <c r="D64" i="5" s="1"/>
  <c r="C63" i="5"/>
  <c r="D63" i="5" s="1"/>
  <c r="B63" i="5"/>
  <c r="C62" i="5"/>
  <c r="D62" i="5" s="1"/>
  <c r="B62" i="5"/>
  <c r="C61" i="5"/>
  <c r="D61" i="5" s="1"/>
  <c r="B61" i="5"/>
  <c r="B60" i="5"/>
  <c r="C60" i="5" s="1"/>
  <c r="D60" i="5" s="1"/>
  <c r="B59" i="5"/>
  <c r="C59" i="5" s="1"/>
  <c r="D59" i="5" s="1"/>
  <c r="B58" i="5"/>
  <c r="C58" i="5" s="1"/>
  <c r="D58" i="5" s="1"/>
  <c r="C57" i="5"/>
  <c r="B57" i="5"/>
  <c r="B56" i="5"/>
  <c r="C56" i="5" s="1"/>
  <c r="C55" i="5"/>
  <c r="B55" i="5"/>
  <c r="B54" i="5"/>
  <c r="C54" i="5" s="1"/>
  <c r="C53" i="5"/>
  <c r="B53" i="5"/>
  <c r="B52" i="5"/>
  <c r="C52" i="5" s="1"/>
  <c r="C51" i="5"/>
  <c r="B51" i="5"/>
  <c r="C50" i="5"/>
  <c r="B50" i="5"/>
  <c r="B49" i="5"/>
  <c r="C49" i="5" s="1"/>
  <c r="B48" i="5"/>
  <c r="C48" i="5" s="1"/>
  <c r="C47" i="5"/>
  <c r="B47" i="5"/>
  <c r="C38" i="5"/>
  <c r="D38" i="5" s="1"/>
  <c r="C37" i="5"/>
  <c r="D37" i="5" s="1"/>
  <c r="C36" i="5"/>
  <c r="D36" i="5" s="1"/>
  <c r="P35" i="5"/>
  <c r="U35" i="5" s="1"/>
  <c r="C35" i="5"/>
  <c r="D35" i="5" s="1"/>
  <c r="P34" i="5"/>
  <c r="U34" i="5" s="1"/>
  <c r="C34" i="5"/>
  <c r="D34" i="5" s="1"/>
  <c r="P33" i="5"/>
  <c r="U33" i="5" s="1"/>
  <c r="C33" i="5"/>
  <c r="D33" i="5" s="1"/>
  <c r="P32" i="5"/>
  <c r="U32" i="5" s="1"/>
  <c r="C32" i="5"/>
  <c r="D32" i="5" s="1"/>
  <c r="P31" i="5"/>
  <c r="U31" i="5" s="1"/>
  <c r="C31" i="5"/>
  <c r="D31" i="5" s="1"/>
  <c r="P30" i="5"/>
  <c r="U30" i="5" s="1"/>
  <c r="C30" i="5"/>
  <c r="D30" i="5" s="1"/>
  <c r="U29" i="5"/>
  <c r="P29" i="5"/>
  <c r="D29" i="5"/>
  <c r="C29" i="5"/>
  <c r="U28" i="5"/>
  <c r="P28" i="5"/>
  <c r="C28" i="5"/>
  <c r="D28" i="5" s="1"/>
  <c r="U27" i="5"/>
  <c r="P27" i="5"/>
  <c r="D27" i="5"/>
  <c r="C27" i="5"/>
  <c r="U26" i="5"/>
  <c r="R26" i="5"/>
  <c r="P26" i="5"/>
  <c r="C26" i="5"/>
  <c r="D26" i="5" s="1"/>
  <c r="P25" i="5"/>
  <c r="U25" i="5" s="1"/>
  <c r="R24" i="5" s="1"/>
  <c r="R29" i="5" s="1"/>
  <c r="C25" i="5"/>
  <c r="D25" i="5" s="1"/>
  <c r="C24" i="5"/>
  <c r="D24" i="5" s="1"/>
  <c r="D23" i="5"/>
  <c r="C23" i="5"/>
  <c r="C22" i="5"/>
  <c r="D22" i="5" s="1"/>
  <c r="D21" i="5"/>
  <c r="C21" i="5"/>
  <c r="C20" i="5"/>
  <c r="D20" i="5" s="1"/>
  <c r="D19" i="5"/>
  <c r="C19" i="5"/>
  <c r="C18" i="5"/>
  <c r="D18" i="5" s="1"/>
  <c r="D17" i="5"/>
  <c r="C17" i="5"/>
  <c r="C16" i="5"/>
  <c r="D16" i="5" s="1"/>
  <c r="C15" i="5"/>
  <c r="D15" i="5" s="1"/>
  <c r="D14" i="5"/>
  <c r="C14" i="5"/>
  <c r="C13" i="5"/>
  <c r="D13" i="5" s="1"/>
  <c r="C12" i="5"/>
  <c r="D12" i="5" s="1"/>
  <c r="C11" i="5"/>
  <c r="D11" i="5" s="1"/>
  <c r="S10" i="5"/>
  <c r="R10" i="5" a="1"/>
  <c r="R10" i="5" s="1"/>
  <c r="C10" i="5"/>
  <c r="D10" i="5" s="1"/>
  <c r="C9" i="5"/>
  <c r="D9" i="5" s="1"/>
  <c r="C8" i="5"/>
  <c r="D8" i="5" s="1"/>
  <c r="C7" i="5"/>
  <c r="D7" i="5" s="1"/>
  <c r="C6" i="5"/>
  <c r="D6" i="5" s="1"/>
  <c r="C5" i="5"/>
  <c r="D5" i="5" s="1"/>
  <c r="C4" i="5"/>
  <c r="D4" i="5" s="1"/>
  <c r="C3" i="5"/>
  <c r="D3" i="5" s="1"/>
  <c r="C2" i="5"/>
  <c r="D2" i="5" s="1"/>
  <c r="C67" i="2"/>
  <c r="D67" i="2" s="1"/>
  <c r="B67" i="4"/>
  <c r="C67" i="4" s="1"/>
  <c r="D67" i="4" s="1"/>
  <c r="B66" i="4"/>
  <c r="C66" i="4" s="1"/>
  <c r="D66" i="4" s="1"/>
  <c r="B65" i="4"/>
  <c r="C65" i="4" s="1"/>
  <c r="D65" i="4" s="1"/>
  <c r="B64" i="4"/>
  <c r="C64" i="4" s="1"/>
  <c r="D64" i="4" s="1"/>
  <c r="C63" i="4"/>
  <c r="D63" i="4" s="1"/>
  <c r="B63" i="4"/>
  <c r="D62" i="4"/>
  <c r="C62" i="4"/>
  <c r="B62" i="4"/>
  <c r="C61" i="4"/>
  <c r="D61" i="4" s="1"/>
  <c r="B61" i="4"/>
  <c r="B60" i="4"/>
  <c r="C60" i="4" s="1"/>
  <c r="D60" i="4" s="1"/>
  <c r="C59" i="4"/>
  <c r="D59" i="4" s="1"/>
  <c r="B59" i="4"/>
  <c r="B58" i="4"/>
  <c r="C58" i="4" s="1"/>
  <c r="D58" i="4" s="1"/>
  <c r="C57" i="4"/>
  <c r="B57" i="4"/>
  <c r="B56" i="4"/>
  <c r="C56" i="4" s="1"/>
  <c r="C55" i="4"/>
  <c r="B55" i="4"/>
  <c r="B54" i="4"/>
  <c r="C54" i="4" s="1"/>
  <c r="C53" i="4"/>
  <c r="B53" i="4"/>
  <c r="B52" i="4"/>
  <c r="C52" i="4" s="1"/>
  <c r="C51" i="4"/>
  <c r="B51" i="4"/>
  <c r="C50" i="4"/>
  <c r="B50" i="4"/>
  <c r="C49" i="4"/>
  <c r="B49" i="4"/>
  <c r="B48" i="4"/>
  <c r="C48" i="4" s="1"/>
  <c r="C47" i="4"/>
  <c r="B47" i="4"/>
  <c r="C38" i="4"/>
  <c r="D38" i="4" s="1"/>
  <c r="C37" i="4"/>
  <c r="D37" i="4" s="1"/>
  <c r="C36" i="4"/>
  <c r="D36" i="4" s="1"/>
  <c r="P35" i="4"/>
  <c r="U35" i="4" s="1"/>
  <c r="C35" i="4"/>
  <c r="D35" i="4" s="1"/>
  <c r="P34" i="4"/>
  <c r="U34" i="4" s="1"/>
  <c r="C34" i="4"/>
  <c r="D34" i="4" s="1"/>
  <c r="P33" i="4"/>
  <c r="U33" i="4" s="1"/>
  <c r="C33" i="4"/>
  <c r="D33" i="4" s="1"/>
  <c r="P32" i="4"/>
  <c r="U32" i="4" s="1"/>
  <c r="C32" i="4"/>
  <c r="D32" i="4" s="1"/>
  <c r="P31" i="4"/>
  <c r="U31" i="4" s="1"/>
  <c r="C31" i="4"/>
  <c r="D31" i="4" s="1"/>
  <c r="P30" i="4"/>
  <c r="U30" i="4" s="1"/>
  <c r="C30" i="4"/>
  <c r="D30" i="4" s="1"/>
  <c r="P29" i="4"/>
  <c r="U29" i="4" s="1"/>
  <c r="D29" i="4"/>
  <c r="C29" i="4"/>
  <c r="U28" i="4"/>
  <c r="P28" i="4"/>
  <c r="D28" i="4"/>
  <c r="C28" i="4"/>
  <c r="U27" i="4"/>
  <c r="P27" i="4"/>
  <c r="D27" i="4"/>
  <c r="C27" i="4"/>
  <c r="U26" i="4"/>
  <c r="R26" i="4"/>
  <c r="P26" i="4"/>
  <c r="C26" i="4"/>
  <c r="D26" i="4" s="1"/>
  <c r="P25" i="4"/>
  <c r="U25" i="4" s="1"/>
  <c r="C25" i="4"/>
  <c r="D25" i="4" s="1"/>
  <c r="D24" i="4"/>
  <c r="C24" i="4"/>
  <c r="C23" i="4"/>
  <c r="D23" i="4" s="1"/>
  <c r="D22" i="4"/>
  <c r="C22" i="4"/>
  <c r="D21" i="4"/>
  <c r="C21" i="4"/>
  <c r="D20" i="4"/>
  <c r="C20" i="4"/>
  <c r="C19" i="4"/>
  <c r="D19" i="4" s="1"/>
  <c r="D18" i="4"/>
  <c r="C18" i="4"/>
  <c r="D17" i="4"/>
  <c r="C17" i="4"/>
  <c r="D16" i="4"/>
  <c r="C16" i="4"/>
  <c r="C15" i="4"/>
  <c r="D15" i="4" s="1"/>
  <c r="D14" i="4"/>
  <c r="C14" i="4"/>
  <c r="D13" i="4"/>
  <c r="C13" i="4"/>
  <c r="D12" i="4"/>
  <c r="C12" i="4"/>
  <c r="C11" i="4"/>
  <c r="D11" i="4" s="1"/>
  <c r="R10" i="4" a="1"/>
  <c r="R10" i="4" s="1"/>
  <c r="C10" i="4"/>
  <c r="D10" i="4" s="1"/>
  <c r="C9" i="4"/>
  <c r="D9" i="4" s="1"/>
  <c r="C8" i="4"/>
  <c r="D8" i="4" s="1"/>
  <c r="C7" i="4"/>
  <c r="D7" i="4" s="1"/>
  <c r="C6" i="4"/>
  <c r="D6" i="4" s="1"/>
  <c r="C5" i="4"/>
  <c r="D5" i="4" s="1"/>
  <c r="C4" i="4"/>
  <c r="D4" i="4" s="1"/>
  <c r="C3" i="4"/>
  <c r="D3" i="4" s="1"/>
  <c r="C2" i="4"/>
  <c r="D2" i="4" s="1"/>
  <c r="B67" i="3"/>
  <c r="C67" i="3" s="1"/>
  <c r="D67" i="3" s="1"/>
  <c r="B66" i="3"/>
  <c r="C66" i="3" s="1"/>
  <c r="D66" i="3" s="1"/>
  <c r="B65" i="3"/>
  <c r="C65" i="3" s="1"/>
  <c r="D65" i="3" s="1"/>
  <c r="B64" i="3"/>
  <c r="C64" i="3" s="1"/>
  <c r="D64" i="3" s="1"/>
  <c r="B63" i="3"/>
  <c r="C63" i="3" s="1"/>
  <c r="D63" i="3" s="1"/>
  <c r="C62" i="3"/>
  <c r="D62" i="3" s="1"/>
  <c r="B62" i="3"/>
  <c r="C61" i="3"/>
  <c r="D61" i="3" s="1"/>
  <c r="B61" i="3"/>
  <c r="C60" i="3"/>
  <c r="D60" i="3" s="1"/>
  <c r="B60" i="3"/>
  <c r="B59" i="3"/>
  <c r="C59" i="3" s="1"/>
  <c r="D59" i="3" s="1"/>
  <c r="B58" i="3"/>
  <c r="C58" i="3" s="1"/>
  <c r="D58" i="3" s="1"/>
  <c r="C57" i="3"/>
  <c r="B57" i="3"/>
  <c r="B56" i="3"/>
  <c r="C56" i="3" s="1"/>
  <c r="C55" i="3"/>
  <c r="B55" i="3"/>
  <c r="B54" i="3"/>
  <c r="C54" i="3" s="1"/>
  <c r="C53" i="3"/>
  <c r="B53" i="3"/>
  <c r="B52" i="3"/>
  <c r="C52" i="3" s="1"/>
  <c r="C51" i="3"/>
  <c r="B51" i="3"/>
  <c r="C50" i="3"/>
  <c r="B50" i="3"/>
  <c r="B49" i="3"/>
  <c r="C49" i="3" s="1"/>
  <c r="B48" i="3"/>
  <c r="C48" i="3" s="1"/>
  <c r="B47" i="3"/>
  <c r="C47" i="3" s="1"/>
  <c r="D38" i="3"/>
  <c r="C38" i="3"/>
  <c r="C37" i="3"/>
  <c r="D37" i="3" s="1"/>
  <c r="C36" i="3"/>
  <c r="D36" i="3" s="1"/>
  <c r="P35" i="3"/>
  <c r="U35" i="3" s="1"/>
  <c r="D35" i="3"/>
  <c r="C35" i="3"/>
  <c r="P34" i="3"/>
  <c r="U34" i="3" s="1"/>
  <c r="C34" i="3"/>
  <c r="D34" i="3" s="1"/>
  <c r="P33" i="3"/>
  <c r="U33" i="3" s="1"/>
  <c r="D33" i="3"/>
  <c r="C33" i="3"/>
  <c r="P32" i="3"/>
  <c r="U32" i="3" s="1"/>
  <c r="C32" i="3"/>
  <c r="D32" i="3" s="1"/>
  <c r="P31" i="3"/>
  <c r="U31" i="3" s="1"/>
  <c r="C31" i="3"/>
  <c r="D31" i="3" s="1"/>
  <c r="P30" i="3"/>
  <c r="U30" i="3" s="1"/>
  <c r="C30" i="3"/>
  <c r="D30" i="3" s="1"/>
  <c r="P29" i="3"/>
  <c r="U29" i="3" s="1"/>
  <c r="C29" i="3"/>
  <c r="D29" i="3" s="1"/>
  <c r="U28" i="3"/>
  <c r="P28" i="3"/>
  <c r="C28" i="3"/>
  <c r="D28" i="3" s="1"/>
  <c r="U27" i="3"/>
  <c r="P27" i="3"/>
  <c r="C27" i="3"/>
  <c r="D27" i="3" s="1"/>
  <c r="U26" i="3"/>
  <c r="R26" i="3"/>
  <c r="P26" i="3"/>
  <c r="C26" i="3"/>
  <c r="D26" i="3" s="1"/>
  <c r="U25" i="3"/>
  <c r="P25" i="3"/>
  <c r="C25" i="3"/>
  <c r="D25" i="3" s="1"/>
  <c r="C24" i="3"/>
  <c r="D24" i="3" s="1"/>
  <c r="D23" i="3"/>
  <c r="C23" i="3"/>
  <c r="C22" i="3"/>
  <c r="D22" i="3" s="1"/>
  <c r="C21" i="3"/>
  <c r="D21" i="3" s="1"/>
  <c r="C20" i="3"/>
  <c r="D20" i="3" s="1"/>
  <c r="D19" i="3"/>
  <c r="C19" i="3"/>
  <c r="C18" i="3"/>
  <c r="D18" i="3" s="1"/>
  <c r="D17" i="3"/>
  <c r="C17" i="3"/>
  <c r="C16" i="3"/>
  <c r="D16" i="3" s="1"/>
  <c r="D15" i="3"/>
  <c r="C15" i="3"/>
  <c r="D14" i="3"/>
  <c r="C14" i="3"/>
  <c r="C13" i="3"/>
  <c r="D13" i="3" s="1"/>
  <c r="C12" i="3"/>
  <c r="D12" i="3" s="1"/>
  <c r="D11" i="3"/>
  <c r="C11" i="3"/>
  <c r="R10" i="3" a="1"/>
  <c r="R10" i="3" s="1"/>
  <c r="C10" i="3"/>
  <c r="D10" i="3" s="1"/>
  <c r="C9" i="3"/>
  <c r="D9" i="3" s="1"/>
  <c r="C8" i="3"/>
  <c r="D8" i="3" s="1"/>
  <c r="C7" i="3"/>
  <c r="D7" i="3" s="1"/>
  <c r="C6" i="3"/>
  <c r="D6" i="3" s="1"/>
  <c r="D5" i="3"/>
  <c r="C5" i="3"/>
  <c r="C4" i="3"/>
  <c r="D4" i="3" s="1"/>
  <c r="C3" i="3"/>
  <c r="D3" i="3" s="1"/>
  <c r="C2" i="3"/>
  <c r="D2" i="3" s="1"/>
  <c r="D59" i="2"/>
  <c r="D60" i="2"/>
  <c r="D61" i="2"/>
  <c r="D62" i="2"/>
  <c r="D63" i="2"/>
  <c r="D64" i="2"/>
  <c r="D65" i="2"/>
  <c r="D66" i="2"/>
  <c r="D58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47" i="2"/>
  <c r="P25" i="2"/>
  <c r="P26" i="2"/>
  <c r="U26" i="2" s="1"/>
  <c r="P27" i="2"/>
  <c r="P28" i="2"/>
  <c r="P29" i="2"/>
  <c r="P30" i="2"/>
  <c r="U30" i="2" s="1"/>
  <c r="P31" i="2"/>
  <c r="U31" i="2" s="1"/>
  <c r="P32" i="2"/>
  <c r="U32" i="2" s="1"/>
  <c r="P33" i="2"/>
  <c r="P34" i="2"/>
  <c r="P35" i="2"/>
  <c r="C2" i="2"/>
  <c r="C3" i="2"/>
  <c r="C4" i="2"/>
  <c r="C5" i="2"/>
  <c r="C6" i="2"/>
  <c r="C7" i="2"/>
  <c r="C8" i="2"/>
  <c r="D8" i="2" s="1"/>
  <c r="C9" i="2"/>
  <c r="D9" i="2" s="1"/>
  <c r="C10" i="2"/>
  <c r="C11" i="2"/>
  <c r="C12" i="2"/>
  <c r="C13" i="2"/>
  <c r="C14" i="2"/>
  <c r="C15" i="2"/>
  <c r="C16" i="2"/>
  <c r="D16" i="2" s="1"/>
  <c r="C17" i="2"/>
  <c r="D17" i="2" s="1"/>
  <c r="C18" i="2"/>
  <c r="C19" i="2"/>
  <c r="C20" i="2"/>
  <c r="C21" i="2"/>
  <c r="C22" i="2"/>
  <c r="C23" i="2"/>
  <c r="C24" i="2"/>
  <c r="D24" i="2" s="1"/>
  <c r="C25" i="2"/>
  <c r="D25" i="2" s="1"/>
  <c r="C26" i="2"/>
  <c r="C27" i="2"/>
  <c r="C28" i="2"/>
  <c r="C29" i="2"/>
  <c r="C30" i="2"/>
  <c r="C31" i="2"/>
  <c r="C32" i="2"/>
  <c r="D32" i="2" s="1"/>
  <c r="C33" i="2"/>
  <c r="D33" i="2" s="1"/>
  <c r="C34" i="2"/>
  <c r="C35" i="2"/>
  <c r="C36" i="2"/>
  <c r="C37" i="2"/>
  <c r="C38" i="2"/>
  <c r="D38" i="2"/>
  <c r="D37" i="2"/>
  <c r="D36" i="2"/>
  <c r="U35" i="2"/>
  <c r="D35" i="2"/>
  <c r="U34" i="2"/>
  <c r="D34" i="2"/>
  <c r="U33" i="2"/>
  <c r="D31" i="2"/>
  <c r="D30" i="2"/>
  <c r="U29" i="2"/>
  <c r="D29" i="2"/>
  <c r="U28" i="2"/>
  <c r="D28" i="2"/>
  <c r="U27" i="2"/>
  <c r="D27" i="2"/>
  <c r="R26" i="2"/>
  <c r="D26" i="2"/>
  <c r="U25" i="2"/>
  <c r="D23" i="2"/>
  <c r="D22" i="2"/>
  <c r="D21" i="2"/>
  <c r="D20" i="2"/>
  <c r="D19" i="2"/>
  <c r="D18" i="2"/>
  <c r="D15" i="2"/>
  <c r="D14" i="2"/>
  <c r="D13" i="2"/>
  <c r="D12" i="2"/>
  <c r="D11" i="2"/>
  <c r="R10" i="2" a="1"/>
  <c r="S11" i="2" s="1"/>
  <c r="D10" i="2"/>
  <c r="D7" i="2"/>
  <c r="D6" i="2"/>
  <c r="D5" i="2"/>
  <c r="D4" i="2"/>
  <c r="D3" i="2"/>
  <c r="D2" i="2"/>
  <c r="R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50" i="1"/>
  <c r="R43" i="1"/>
  <c r="O40" i="1" a="1"/>
  <c r="O40" i="1" s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R26" i="1"/>
  <c r="P26" i="1"/>
  <c r="U26" i="1" s="1"/>
  <c r="P27" i="1"/>
  <c r="U27" i="1" s="1"/>
  <c r="P28" i="1"/>
  <c r="U28" i="1" s="1"/>
  <c r="P29" i="1"/>
  <c r="U29" i="1" s="1"/>
  <c r="P30" i="1"/>
  <c r="U30" i="1" s="1"/>
  <c r="P31" i="1"/>
  <c r="U31" i="1" s="1"/>
  <c r="P32" i="1"/>
  <c r="U32" i="1" s="1"/>
  <c r="P33" i="1"/>
  <c r="U33" i="1" s="1"/>
  <c r="P34" i="1"/>
  <c r="U34" i="1" s="1"/>
  <c r="P35" i="1"/>
  <c r="U35" i="1" s="1"/>
  <c r="P25" i="1"/>
  <c r="U25" i="1" s="1"/>
  <c r="R10" i="1" a="1"/>
  <c r="R10" i="1" s="1"/>
  <c r="O40" i="5" l="1" a="1"/>
  <c r="R11" i="5"/>
  <c r="S11" i="5"/>
  <c r="O40" i="3" a="1"/>
  <c r="O41" i="3" s="1"/>
  <c r="R24" i="4"/>
  <c r="R29" i="4" s="1"/>
  <c r="O40" i="4" a="1"/>
  <c r="R11" i="4"/>
  <c r="S10" i="4"/>
  <c r="S11" i="4"/>
  <c r="R24" i="3"/>
  <c r="R29" i="3" s="1"/>
  <c r="R11" i="3"/>
  <c r="S10" i="3"/>
  <c r="S11" i="3"/>
  <c r="O40" i="2" a="1"/>
  <c r="R24" i="2"/>
  <c r="R29" i="2" s="1"/>
  <c r="R10" i="2"/>
  <c r="S10" i="2"/>
  <c r="R11" i="2"/>
  <c r="P41" i="1"/>
  <c r="O41" i="1"/>
  <c r="P40" i="1"/>
  <c r="R24" i="1"/>
  <c r="R29" i="1" s="1"/>
  <c r="R11" i="1"/>
  <c r="S11" i="1"/>
  <c r="S10" i="1"/>
  <c r="O40" i="5" l="1"/>
  <c r="P40" i="5"/>
  <c r="O41" i="5"/>
  <c r="P41" i="5"/>
  <c r="P41" i="3"/>
  <c r="O40" i="3"/>
  <c r="P40" i="3"/>
  <c r="P82" i="3" s="1"/>
  <c r="Q82" i="3" s="1"/>
  <c r="O41" i="4"/>
  <c r="P40" i="4"/>
  <c r="O40" i="4"/>
  <c r="P41" i="4"/>
  <c r="P78" i="3"/>
  <c r="Q78" i="3" s="1"/>
  <c r="P60" i="3"/>
  <c r="Q60" i="3" s="1"/>
  <c r="P58" i="3"/>
  <c r="Q58" i="3" s="1"/>
  <c r="P54" i="3"/>
  <c r="Q54" i="3" s="1"/>
  <c r="P83" i="3"/>
  <c r="Q83" i="3" s="1"/>
  <c r="P41" i="2"/>
  <c r="O41" i="2"/>
  <c r="P40" i="2"/>
  <c r="O40" i="2"/>
  <c r="P62" i="5" l="1"/>
  <c r="Q62" i="5" s="1"/>
  <c r="P86" i="5"/>
  <c r="Q86" i="5" s="1"/>
  <c r="P82" i="5"/>
  <c r="Q82" i="5" s="1"/>
  <c r="P78" i="5"/>
  <c r="Q78" i="5" s="1"/>
  <c r="P74" i="5"/>
  <c r="Q74" i="5" s="1"/>
  <c r="P70" i="5"/>
  <c r="Q70" i="5" s="1"/>
  <c r="P65" i="5"/>
  <c r="Q65" i="5" s="1"/>
  <c r="P57" i="5"/>
  <c r="Q57" i="5" s="1"/>
  <c r="P55" i="5"/>
  <c r="Q55" i="5" s="1"/>
  <c r="P53" i="5"/>
  <c r="Q53" i="5" s="1"/>
  <c r="P51" i="5"/>
  <c r="Q51" i="5" s="1"/>
  <c r="P60" i="5"/>
  <c r="Q60" i="5" s="1"/>
  <c r="P67" i="5"/>
  <c r="Q67" i="5" s="1"/>
  <c r="P59" i="5"/>
  <c r="Q59" i="5" s="1"/>
  <c r="P85" i="5"/>
  <c r="Q85" i="5" s="1"/>
  <c r="P81" i="5"/>
  <c r="Q81" i="5" s="1"/>
  <c r="P77" i="5"/>
  <c r="Q77" i="5" s="1"/>
  <c r="P73" i="5"/>
  <c r="Q73" i="5" s="1"/>
  <c r="P69" i="5"/>
  <c r="Q69" i="5" s="1"/>
  <c r="P63" i="5"/>
  <c r="Q63" i="5" s="1"/>
  <c r="P71" i="5"/>
  <c r="Q71" i="5" s="1"/>
  <c r="P66" i="5"/>
  <c r="Q66" i="5" s="1"/>
  <c r="P58" i="5"/>
  <c r="Q58" i="5" s="1"/>
  <c r="P75" i="5"/>
  <c r="Q75" i="5" s="1"/>
  <c r="P84" i="5"/>
  <c r="Q84" i="5" s="1"/>
  <c r="P80" i="5"/>
  <c r="Q80" i="5" s="1"/>
  <c r="P76" i="5"/>
  <c r="Q76" i="5" s="1"/>
  <c r="P72" i="5"/>
  <c r="Q72" i="5" s="1"/>
  <c r="P68" i="5"/>
  <c r="Q68" i="5" s="1"/>
  <c r="P61" i="5"/>
  <c r="Q61" i="5" s="1"/>
  <c r="P56" i="5"/>
  <c r="Q56" i="5" s="1"/>
  <c r="P54" i="5"/>
  <c r="Q54" i="5" s="1"/>
  <c r="P52" i="5"/>
  <c r="Q52" i="5" s="1"/>
  <c r="P79" i="5"/>
  <c r="Q79" i="5" s="1"/>
  <c r="P64" i="5"/>
  <c r="Q64" i="5" s="1"/>
  <c r="P50" i="5"/>
  <c r="Q50" i="5" s="1"/>
  <c r="P83" i="5"/>
  <c r="Q83" i="5" s="1"/>
  <c r="P61" i="3"/>
  <c r="Q61" i="3" s="1"/>
  <c r="P53" i="3"/>
  <c r="Q53" i="3" s="1"/>
  <c r="P86" i="3"/>
  <c r="Q86" i="3" s="1"/>
  <c r="P59" i="3"/>
  <c r="Q59" i="3" s="1"/>
  <c r="P69" i="3"/>
  <c r="Q69" i="3" s="1"/>
  <c r="P55" i="3"/>
  <c r="Q55" i="3" s="1"/>
  <c r="P62" i="3"/>
  <c r="Q62" i="3" s="1"/>
  <c r="P67" i="3"/>
  <c r="Q67" i="3" s="1"/>
  <c r="P72" i="3"/>
  <c r="Q72" i="3" s="1"/>
  <c r="P73" i="3"/>
  <c r="Q73" i="3" s="1"/>
  <c r="P57" i="3"/>
  <c r="Q57" i="3" s="1"/>
  <c r="P75" i="3"/>
  <c r="Q75" i="3" s="1"/>
  <c r="P76" i="3"/>
  <c r="Q76" i="3" s="1"/>
  <c r="P77" i="3"/>
  <c r="Q77" i="3" s="1"/>
  <c r="P65" i="3"/>
  <c r="Q65" i="3" s="1"/>
  <c r="P79" i="3"/>
  <c r="Q79" i="3" s="1"/>
  <c r="P80" i="3"/>
  <c r="Q80" i="3" s="1"/>
  <c r="P81" i="3"/>
  <c r="Q81" i="3" s="1"/>
  <c r="P70" i="3"/>
  <c r="Q70" i="3" s="1"/>
  <c r="P64" i="3"/>
  <c r="Q64" i="3" s="1"/>
  <c r="P63" i="3"/>
  <c r="Q63" i="3" s="1"/>
  <c r="P68" i="3"/>
  <c r="Q68" i="3" s="1"/>
  <c r="P71" i="3"/>
  <c r="Q71" i="3" s="1"/>
  <c r="P52" i="3"/>
  <c r="Q52" i="3" s="1"/>
  <c r="P84" i="3"/>
  <c r="Q84" i="3" s="1"/>
  <c r="P85" i="3"/>
  <c r="Q85" i="3" s="1"/>
  <c r="P74" i="3"/>
  <c r="Q74" i="3" s="1"/>
  <c r="P50" i="3"/>
  <c r="Q50" i="3" s="1"/>
  <c r="P56" i="3"/>
  <c r="Q56" i="3" s="1"/>
  <c r="P66" i="3"/>
  <c r="Q66" i="3" s="1"/>
  <c r="P51" i="3"/>
  <c r="Q51" i="3" s="1"/>
  <c r="R50" i="3" s="1"/>
  <c r="P62" i="4"/>
  <c r="Q62" i="4" s="1"/>
  <c r="P86" i="4"/>
  <c r="Q86" i="4" s="1"/>
  <c r="P82" i="4"/>
  <c r="Q82" i="4" s="1"/>
  <c r="P78" i="4"/>
  <c r="Q78" i="4" s="1"/>
  <c r="P74" i="4"/>
  <c r="Q74" i="4" s="1"/>
  <c r="P70" i="4"/>
  <c r="Q70" i="4" s="1"/>
  <c r="P65" i="4"/>
  <c r="Q65" i="4" s="1"/>
  <c r="P57" i="4"/>
  <c r="Q57" i="4" s="1"/>
  <c r="P55" i="4"/>
  <c r="Q55" i="4" s="1"/>
  <c r="P53" i="4"/>
  <c r="Q53" i="4" s="1"/>
  <c r="P51" i="4"/>
  <c r="Q51" i="4" s="1"/>
  <c r="P60" i="4"/>
  <c r="Q60" i="4" s="1"/>
  <c r="P85" i="4"/>
  <c r="Q85" i="4" s="1"/>
  <c r="P81" i="4"/>
  <c r="Q81" i="4" s="1"/>
  <c r="P77" i="4"/>
  <c r="Q77" i="4" s="1"/>
  <c r="P73" i="4"/>
  <c r="Q73" i="4" s="1"/>
  <c r="P69" i="4"/>
  <c r="Q69" i="4" s="1"/>
  <c r="P63" i="4"/>
  <c r="Q63" i="4" s="1"/>
  <c r="P66" i="4"/>
  <c r="Q66" i="4" s="1"/>
  <c r="P58" i="4"/>
  <c r="Q58" i="4" s="1"/>
  <c r="P84" i="4"/>
  <c r="Q84" i="4" s="1"/>
  <c r="P80" i="4"/>
  <c r="Q80" i="4" s="1"/>
  <c r="P76" i="4"/>
  <c r="Q76" i="4" s="1"/>
  <c r="P72" i="4"/>
  <c r="Q72" i="4" s="1"/>
  <c r="P68" i="4"/>
  <c r="Q68" i="4" s="1"/>
  <c r="P61" i="4"/>
  <c r="Q61" i="4" s="1"/>
  <c r="P56" i="4"/>
  <c r="Q56" i="4" s="1"/>
  <c r="P54" i="4"/>
  <c r="Q54" i="4" s="1"/>
  <c r="P52" i="4"/>
  <c r="Q52" i="4" s="1"/>
  <c r="P64" i="4"/>
  <c r="Q64" i="4" s="1"/>
  <c r="P50" i="4"/>
  <c r="Q50" i="4" s="1"/>
  <c r="P83" i="4"/>
  <c r="Q83" i="4" s="1"/>
  <c r="P79" i="4"/>
  <c r="Q79" i="4" s="1"/>
  <c r="P75" i="4"/>
  <c r="Q75" i="4" s="1"/>
  <c r="P71" i="4"/>
  <c r="Q71" i="4" s="1"/>
  <c r="P67" i="4"/>
  <c r="Q67" i="4" s="1"/>
  <c r="P59" i="4"/>
  <c r="Q59" i="4" s="1"/>
  <c r="P86" i="2"/>
  <c r="Q86" i="2" s="1"/>
  <c r="P82" i="2"/>
  <c r="Q82" i="2" s="1"/>
  <c r="P78" i="2"/>
  <c r="Q78" i="2" s="1"/>
  <c r="P74" i="2"/>
  <c r="Q74" i="2" s="1"/>
  <c r="P70" i="2"/>
  <c r="Q70" i="2" s="1"/>
  <c r="P66" i="2"/>
  <c r="Q66" i="2" s="1"/>
  <c r="P62" i="2"/>
  <c r="Q62" i="2" s="1"/>
  <c r="P58" i="2"/>
  <c r="Q58" i="2" s="1"/>
  <c r="P54" i="2"/>
  <c r="Q54" i="2" s="1"/>
  <c r="P50" i="2"/>
  <c r="Q50" i="2" s="1"/>
  <c r="P85" i="2"/>
  <c r="Q85" i="2" s="1"/>
  <c r="P81" i="2"/>
  <c r="Q81" i="2" s="1"/>
  <c r="P77" i="2"/>
  <c r="Q77" i="2" s="1"/>
  <c r="P73" i="2"/>
  <c r="Q73" i="2" s="1"/>
  <c r="P69" i="2"/>
  <c r="Q69" i="2" s="1"/>
  <c r="P65" i="2"/>
  <c r="Q65" i="2" s="1"/>
  <c r="P61" i="2"/>
  <c r="Q61" i="2" s="1"/>
  <c r="P57" i="2"/>
  <c r="Q57" i="2" s="1"/>
  <c r="P53" i="2"/>
  <c r="Q53" i="2" s="1"/>
  <c r="P84" i="2"/>
  <c r="Q84" i="2" s="1"/>
  <c r="P80" i="2"/>
  <c r="Q80" i="2" s="1"/>
  <c r="P76" i="2"/>
  <c r="Q76" i="2" s="1"/>
  <c r="P72" i="2"/>
  <c r="Q72" i="2" s="1"/>
  <c r="P68" i="2"/>
  <c r="Q68" i="2" s="1"/>
  <c r="P64" i="2"/>
  <c r="Q64" i="2" s="1"/>
  <c r="P60" i="2"/>
  <c r="Q60" i="2" s="1"/>
  <c r="P56" i="2"/>
  <c r="Q56" i="2" s="1"/>
  <c r="P52" i="2"/>
  <c r="Q52" i="2" s="1"/>
  <c r="P83" i="2"/>
  <c r="Q83" i="2" s="1"/>
  <c r="P79" i="2"/>
  <c r="Q79" i="2" s="1"/>
  <c r="P75" i="2"/>
  <c r="Q75" i="2" s="1"/>
  <c r="P71" i="2"/>
  <c r="Q71" i="2" s="1"/>
  <c r="P67" i="2"/>
  <c r="Q67" i="2" s="1"/>
  <c r="P63" i="2"/>
  <c r="Q63" i="2" s="1"/>
  <c r="P59" i="2"/>
  <c r="Q59" i="2" s="1"/>
  <c r="P55" i="2"/>
  <c r="Q55" i="2" s="1"/>
  <c r="P51" i="2"/>
  <c r="Q51" i="2" s="1"/>
  <c r="R50" i="5" l="1"/>
  <c r="R50" i="4"/>
  <c r="R50" i="2"/>
</calcChain>
</file>

<file path=xl/sharedStrings.xml><?xml version="1.0" encoding="utf-8"?>
<sst xmlns="http://schemas.openxmlformats.org/spreadsheetml/2006/main" count="118" uniqueCount="25">
  <si>
    <t>Tension</t>
  </si>
  <si>
    <t>a</t>
  </si>
  <si>
    <t>b</t>
  </si>
  <si>
    <t xml:space="preserve">sig a </t>
  </si>
  <si>
    <t>sig b</t>
  </si>
  <si>
    <t>théorique</t>
  </si>
  <si>
    <t>écart</t>
  </si>
  <si>
    <t>max</t>
  </si>
  <si>
    <t>PE</t>
  </si>
  <si>
    <t>écart linéarité en %pe</t>
  </si>
  <si>
    <t xml:space="preserve">Angle \ deg </t>
  </si>
  <si>
    <t>Colonne1</t>
  </si>
  <si>
    <t>offset</t>
  </si>
  <si>
    <t>sensi</t>
  </si>
  <si>
    <t>cos(rad)</t>
  </si>
  <si>
    <t>ss</t>
  </si>
  <si>
    <t>soff</t>
  </si>
  <si>
    <t>ecart</t>
  </si>
  <si>
    <t>U th</t>
  </si>
  <si>
    <t>U mes</t>
  </si>
  <si>
    <t>diff</t>
  </si>
  <si>
    <t xml:space="preserve">Max </t>
  </si>
  <si>
    <t>g</t>
  </si>
  <si>
    <t>angle</t>
  </si>
  <si>
    <t>angle 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</si>
</sst>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0" borderId="1" xfId="0" applyBorder="1"/>
    <xf numFmtId="0" fontId="0" fillId="0" borderId="2" xfId="0" applyBorder="1"/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4" borderId="0" xfId="0" applyFill="1"/>
    <xf numFmtId="0" fontId="0" fillId="0" borderId="0" xfId="0" applyAlignment="1">
      <alignment horizontal="left"/>
    </xf>
    <xf numFmtId="0" fontId="0" fillId="2" borderId="3" xfId="0" applyFont="1" applyFill="1" applyBorder="1" applyAlignment="1">
      <alignment horizontal="left"/>
    </xf>
    <xf numFmtId="0" fontId="0" fillId="0" borderId="3" xfId="0" applyFont="1" applyBorder="1" applyAlignment="1">
      <alignment horizontal="left"/>
    </xf>
    <xf numFmtId="1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30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U()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6858705161854774E-2"/>
          <c:y val="0.15782407407407409"/>
          <c:w val="0.87747462817147859"/>
          <c:h val="0.72125801983085447"/>
        </c:manualLayout>
      </c:layout>
      <c:scatterChart>
        <c:scatterStyle val="lineMarker"/>
        <c:varyColors val="0"/>
        <c:ser>
          <c:idx val="0"/>
          <c:order val="0"/>
          <c:tx>
            <c:strRef>
              <c:f>'Exp1'!$B$1</c:f>
              <c:strCache>
                <c:ptCount val="1"/>
                <c:pt idx="0">
                  <c:v>Tension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xVal>
            <c:numRef>
              <c:f>'Exp1'!$A$2:$A$38</c:f>
              <c:numCache>
                <c:formatCode>General</c:formatCode>
                <c:ptCount val="3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</c:numCache>
            </c:numRef>
          </c:xVal>
          <c:yVal>
            <c:numRef>
              <c:f>'Exp1'!$B$2:$B$38</c:f>
              <c:numCache>
                <c:formatCode>General</c:formatCode>
                <c:ptCount val="37"/>
                <c:pt idx="0">
                  <c:v>1.99685</c:v>
                </c:pt>
                <c:pt idx="1">
                  <c:v>1.98682</c:v>
                </c:pt>
                <c:pt idx="2">
                  <c:v>1.9598199999999999</c:v>
                </c:pt>
                <c:pt idx="3">
                  <c:v>1.91998</c:v>
                </c:pt>
                <c:pt idx="4">
                  <c:v>1.8696699999999999</c:v>
                </c:pt>
                <c:pt idx="5">
                  <c:v>1.8041799999999999</c:v>
                </c:pt>
                <c:pt idx="6">
                  <c:v>1.7327999999999999</c:v>
                </c:pt>
                <c:pt idx="7">
                  <c:v>1.6488</c:v>
                </c:pt>
                <c:pt idx="8">
                  <c:v>1.5654300000000001</c:v>
                </c:pt>
                <c:pt idx="9">
                  <c:v>1.4789099999999999</c:v>
                </c:pt>
                <c:pt idx="10">
                  <c:v>1.3902699999999999</c:v>
                </c:pt>
                <c:pt idx="11">
                  <c:v>1.3108599999999999</c:v>
                </c:pt>
                <c:pt idx="12">
                  <c:v>1.23567</c:v>
                </c:pt>
                <c:pt idx="13">
                  <c:v>1.1669099999999999</c:v>
                </c:pt>
                <c:pt idx="14">
                  <c:v>1.1058399999999999</c:v>
                </c:pt>
                <c:pt idx="15">
                  <c:v>1.05881</c:v>
                </c:pt>
                <c:pt idx="16">
                  <c:v>1.0221100000000001</c:v>
                </c:pt>
                <c:pt idx="17">
                  <c:v>1.0046299999999999</c:v>
                </c:pt>
                <c:pt idx="18">
                  <c:v>1.00057</c:v>
                </c:pt>
                <c:pt idx="19">
                  <c:v>1.01285</c:v>
                </c:pt>
                <c:pt idx="20">
                  <c:v>1.0401899999999999</c:v>
                </c:pt>
                <c:pt idx="21">
                  <c:v>1.0759700000000001</c:v>
                </c:pt>
                <c:pt idx="22">
                  <c:v>1.1341600000000001</c:v>
                </c:pt>
                <c:pt idx="23">
                  <c:v>1.20329</c:v>
                </c:pt>
                <c:pt idx="24">
                  <c:v>1.2741800000000001</c:v>
                </c:pt>
                <c:pt idx="25">
                  <c:v>1.35321</c:v>
                </c:pt>
                <c:pt idx="26">
                  <c:v>1.4330700000000001</c:v>
                </c:pt>
                <c:pt idx="27">
                  <c:v>1.5217799999999999</c:v>
                </c:pt>
                <c:pt idx="28">
                  <c:v>1.6082700000000001</c:v>
                </c:pt>
                <c:pt idx="29">
                  <c:v>1.6919500000000001</c:v>
                </c:pt>
                <c:pt idx="30">
                  <c:v>1.7687900000000001</c:v>
                </c:pt>
                <c:pt idx="31">
                  <c:v>1.83725</c:v>
                </c:pt>
                <c:pt idx="32">
                  <c:v>1.8992599999999999</c:v>
                </c:pt>
                <c:pt idx="33">
                  <c:v>1.94594</c:v>
                </c:pt>
                <c:pt idx="34">
                  <c:v>1.9740500000000001</c:v>
                </c:pt>
                <c:pt idx="35">
                  <c:v>1.9939899999999999</c:v>
                </c:pt>
                <c:pt idx="36">
                  <c:v>1.9981199999999999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A1-4D67-A4CD-6E624355CE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2730511"/>
        <c:axId val="1262718991"/>
      </c:scatterChart>
      <c:valAx>
        <c:axId val="1262730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62718991"/>
        <c:crosses val="autoZero"/>
        <c:crossBetween val="midCat"/>
      </c:valAx>
      <c:valAx>
        <c:axId val="1262718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627305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3445450568678916"/>
                  <c:y val="-1.099810440361621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'Exp1'!$O$7:$O$17</c:f>
              <c:numCache>
                <c:formatCode>General</c:formatCode>
                <c:ptCount val="11"/>
                <c:pt idx="0">
                  <c:v>40</c:v>
                </c:pt>
                <c:pt idx="1">
                  <c:v>50</c:v>
                </c:pt>
                <c:pt idx="2">
                  <c:v>60</c:v>
                </c:pt>
                <c:pt idx="3">
                  <c:v>70</c:v>
                </c:pt>
                <c:pt idx="4">
                  <c:v>80</c:v>
                </c:pt>
                <c:pt idx="5">
                  <c:v>90</c:v>
                </c:pt>
                <c:pt idx="6">
                  <c:v>100</c:v>
                </c:pt>
                <c:pt idx="7">
                  <c:v>110</c:v>
                </c:pt>
                <c:pt idx="8">
                  <c:v>120</c:v>
                </c:pt>
                <c:pt idx="9">
                  <c:v>130</c:v>
                </c:pt>
                <c:pt idx="10">
                  <c:v>140</c:v>
                </c:pt>
              </c:numCache>
            </c:numRef>
          </c:xVal>
          <c:yVal>
            <c:numRef>
              <c:f>'Exp1'!$P$7:$P$17</c:f>
              <c:numCache>
                <c:formatCode>General</c:formatCode>
                <c:ptCount val="11"/>
                <c:pt idx="0">
                  <c:v>1.8696699999999999</c:v>
                </c:pt>
                <c:pt idx="1">
                  <c:v>1.8041799999999999</c:v>
                </c:pt>
                <c:pt idx="2">
                  <c:v>1.7327999999999999</c:v>
                </c:pt>
                <c:pt idx="3">
                  <c:v>1.6488</c:v>
                </c:pt>
                <c:pt idx="4">
                  <c:v>1.5654300000000001</c:v>
                </c:pt>
                <c:pt idx="5">
                  <c:v>1.4789099999999999</c:v>
                </c:pt>
                <c:pt idx="6">
                  <c:v>1.3902699999999999</c:v>
                </c:pt>
                <c:pt idx="7">
                  <c:v>1.3108599999999999</c:v>
                </c:pt>
                <c:pt idx="8">
                  <c:v>1.23567</c:v>
                </c:pt>
                <c:pt idx="9">
                  <c:v>1.1669099999999999</c:v>
                </c:pt>
                <c:pt idx="10">
                  <c:v>1.1058399999999999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79-4BC6-A875-B149F3B812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6704255"/>
        <c:axId val="1396706175"/>
      </c:scatterChart>
      <c:valAx>
        <c:axId val="1396704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96706175"/>
        <c:crosses val="autoZero"/>
        <c:crossBetween val="midCat"/>
      </c:valAx>
      <c:valAx>
        <c:axId val="1396706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96704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U(cos(t))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3714763779527559"/>
                  <c:y val="-0.1393055555555555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'Exp1'!$D$2:$D$38</c:f>
              <c:numCache>
                <c:formatCode>General</c:formatCode>
                <c:ptCount val="37"/>
                <c:pt idx="0">
                  <c:v>1</c:v>
                </c:pt>
                <c:pt idx="1">
                  <c:v>0.98480775301220802</c:v>
                </c:pt>
                <c:pt idx="2">
                  <c:v>0.93969262078590843</c:v>
                </c:pt>
                <c:pt idx="3">
                  <c:v>0.86602540378443871</c:v>
                </c:pt>
                <c:pt idx="4">
                  <c:v>0.76604444311897801</c:v>
                </c:pt>
                <c:pt idx="5">
                  <c:v>0.64278760968653936</c:v>
                </c:pt>
                <c:pt idx="6">
                  <c:v>0.50000000000000011</c:v>
                </c:pt>
                <c:pt idx="7">
                  <c:v>0.34202014332566882</c:v>
                </c:pt>
                <c:pt idx="8">
                  <c:v>0.17364817766693041</c:v>
                </c:pt>
                <c:pt idx="9">
                  <c:v>6.1257422745431001E-17</c:v>
                </c:pt>
                <c:pt idx="10">
                  <c:v>-0.1736481776669303</c:v>
                </c:pt>
                <c:pt idx="11">
                  <c:v>-0.34202014332566871</c:v>
                </c:pt>
                <c:pt idx="12">
                  <c:v>-0.49999999999999978</c:v>
                </c:pt>
                <c:pt idx="13">
                  <c:v>-0.64278760968653936</c:v>
                </c:pt>
                <c:pt idx="14">
                  <c:v>-0.7660444431189779</c:v>
                </c:pt>
                <c:pt idx="15">
                  <c:v>-0.86602540378443871</c:v>
                </c:pt>
                <c:pt idx="16">
                  <c:v>-0.93969262078590832</c:v>
                </c:pt>
                <c:pt idx="17">
                  <c:v>-0.98480775301220802</c:v>
                </c:pt>
                <c:pt idx="18">
                  <c:v>-1</c:v>
                </c:pt>
                <c:pt idx="19">
                  <c:v>-0.98480775301220802</c:v>
                </c:pt>
                <c:pt idx="20">
                  <c:v>-0.93969262078590843</c:v>
                </c:pt>
                <c:pt idx="21">
                  <c:v>-0.8660254037844386</c:v>
                </c:pt>
                <c:pt idx="22">
                  <c:v>-0.76604444311897801</c:v>
                </c:pt>
                <c:pt idx="23">
                  <c:v>-0.64278760968653947</c:v>
                </c:pt>
                <c:pt idx="24">
                  <c:v>-0.50000000000000044</c:v>
                </c:pt>
                <c:pt idx="25">
                  <c:v>-0.34202014332566938</c:v>
                </c:pt>
                <c:pt idx="26">
                  <c:v>-0.17364817766693033</c:v>
                </c:pt>
                <c:pt idx="27">
                  <c:v>-1.83772268236293E-16</c:v>
                </c:pt>
                <c:pt idx="28">
                  <c:v>0.17364817766692997</c:v>
                </c:pt>
                <c:pt idx="29">
                  <c:v>0.34202014332566816</c:v>
                </c:pt>
                <c:pt idx="30">
                  <c:v>0.50000000000000011</c:v>
                </c:pt>
                <c:pt idx="31">
                  <c:v>0.64278760968653925</c:v>
                </c:pt>
                <c:pt idx="32">
                  <c:v>0.76604444311897779</c:v>
                </c:pt>
                <c:pt idx="33">
                  <c:v>0.86602540378443837</c:v>
                </c:pt>
                <c:pt idx="34">
                  <c:v>0.93969262078590843</c:v>
                </c:pt>
                <c:pt idx="35">
                  <c:v>0.98480775301220791</c:v>
                </c:pt>
                <c:pt idx="36">
                  <c:v>1</c:v>
                </c:pt>
              </c:numCache>
            </c:numRef>
          </c:xVal>
          <c:yVal>
            <c:numRef>
              <c:f>'Exp1'!$B$2:$B$38</c:f>
              <c:numCache>
                <c:formatCode>General</c:formatCode>
                <c:ptCount val="37"/>
                <c:pt idx="0">
                  <c:v>1.99685</c:v>
                </c:pt>
                <c:pt idx="1">
                  <c:v>1.98682</c:v>
                </c:pt>
                <c:pt idx="2">
                  <c:v>1.9598199999999999</c:v>
                </c:pt>
                <c:pt idx="3">
                  <c:v>1.91998</c:v>
                </c:pt>
                <c:pt idx="4">
                  <c:v>1.8696699999999999</c:v>
                </c:pt>
                <c:pt idx="5">
                  <c:v>1.8041799999999999</c:v>
                </c:pt>
                <c:pt idx="6">
                  <c:v>1.7327999999999999</c:v>
                </c:pt>
                <c:pt idx="7">
                  <c:v>1.6488</c:v>
                </c:pt>
                <c:pt idx="8">
                  <c:v>1.5654300000000001</c:v>
                </c:pt>
                <c:pt idx="9">
                  <c:v>1.4789099999999999</c:v>
                </c:pt>
                <c:pt idx="10">
                  <c:v>1.3902699999999999</c:v>
                </c:pt>
                <c:pt idx="11">
                  <c:v>1.3108599999999999</c:v>
                </c:pt>
                <c:pt idx="12">
                  <c:v>1.23567</c:v>
                </c:pt>
                <c:pt idx="13">
                  <c:v>1.1669099999999999</c:v>
                </c:pt>
                <c:pt idx="14">
                  <c:v>1.1058399999999999</c:v>
                </c:pt>
                <c:pt idx="15">
                  <c:v>1.05881</c:v>
                </c:pt>
                <c:pt idx="16">
                  <c:v>1.0221100000000001</c:v>
                </c:pt>
                <c:pt idx="17">
                  <c:v>1.0046299999999999</c:v>
                </c:pt>
                <c:pt idx="18">
                  <c:v>1.00057</c:v>
                </c:pt>
                <c:pt idx="19">
                  <c:v>1.01285</c:v>
                </c:pt>
                <c:pt idx="20">
                  <c:v>1.0401899999999999</c:v>
                </c:pt>
                <c:pt idx="21">
                  <c:v>1.0759700000000001</c:v>
                </c:pt>
                <c:pt idx="22">
                  <c:v>1.1341600000000001</c:v>
                </c:pt>
                <c:pt idx="23">
                  <c:v>1.20329</c:v>
                </c:pt>
                <c:pt idx="24">
                  <c:v>1.2741800000000001</c:v>
                </c:pt>
                <c:pt idx="25">
                  <c:v>1.35321</c:v>
                </c:pt>
                <c:pt idx="26">
                  <c:v>1.4330700000000001</c:v>
                </c:pt>
                <c:pt idx="27">
                  <c:v>1.5217799999999999</c:v>
                </c:pt>
                <c:pt idx="28">
                  <c:v>1.6082700000000001</c:v>
                </c:pt>
                <c:pt idx="29">
                  <c:v>1.6919500000000001</c:v>
                </c:pt>
                <c:pt idx="30">
                  <c:v>1.7687900000000001</c:v>
                </c:pt>
                <c:pt idx="31">
                  <c:v>1.83725</c:v>
                </c:pt>
                <c:pt idx="32">
                  <c:v>1.8992599999999999</c:v>
                </c:pt>
                <c:pt idx="33">
                  <c:v>1.94594</c:v>
                </c:pt>
                <c:pt idx="34">
                  <c:v>1.9740500000000001</c:v>
                </c:pt>
                <c:pt idx="35">
                  <c:v>1.9939899999999999</c:v>
                </c:pt>
                <c:pt idx="36">
                  <c:v>1.9981199999999999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EB-4BE2-99BE-6FB14224B3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6045119"/>
        <c:axId val="1496045599"/>
      </c:scatterChart>
      <c:valAx>
        <c:axId val="1496045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96045599"/>
        <c:crosses val="autoZero"/>
        <c:crossBetween val="midCat"/>
      </c:valAx>
      <c:valAx>
        <c:axId val="1496045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96045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U()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6858705161854774E-2"/>
          <c:y val="0.15782407407407409"/>
          <c:w val="0.87747462817147859"/>
          <c:h val="0.72125801983085447"/>
        </c:manualLayout>
      </c:layout>
      <c:scatterChart>
        <c:scatterStyle val="lineMarker"/>
        <c:varyColors val="0"/>
        <c:ser>
          <c:idx val="0"/>
          <c:order val="0"/>
          <c:tx>
            <c:strRef>
              <c:f>'Exp1'!$B$1</c:f>
              <c:strCache>
                <c:ptCount val="1"/>
                <c:pt idx="0">
                  <c:v>Tension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xVal>
            <c:numRef>
              <c:f>'Exp1'!$A$2:$A$38</c:f>
              <c:numCache>
                <c:formatCode>General</c:formatCode>
                <c:ptCount val="3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</c:numCache>
            </c:numRef>
          </c:xVal>
          <c:yVal>
            <c:numRef>
              <c:f>'Exp1'!$B$2:$B$38</c:f>
              <c:numCache>
                <c:formatCode>General</c:formatCode>
                <c:ptCount val="37"/>
                <c:pt idx="0">
                  <c:v>1.99685</c:v>
                </c:pt>
                <c:pt idx="1">
                  <c:v>1.98682</c:v>
                </c:pt>
                <c:pt idx="2">
                  <c:v>1.9598199999999999</c:v>
                </c:pt>
                <c:pt idx="3">
                  <c:v>1.91998</c:v>
                </c:pt>
                <c:pt idx="4">
                  <c:v>1.8696699999999999</c:v>
                </c:pt>
                <c:pt idx="5">
                  <c:v>1.8041799999999999</c:v>
                </c:pt>
                <c:pt idx="6">
                  <c:v>1.7327999999999999</c:v>
                </c:pt>
                <c:pt idx="7">
                  <c:v>1.6488</c:v>
                </c:pt>
                <c:pt idx="8">
                  <c:v>1.5654300000000001</c:v>
                </c:pt>
                <c:pt idx="9">
                  <c:v>1.4789099999999999</c:v>
                </c:pt>
                <c:pt idx="10">
                  <c:v>1.3902699999999999</c:v>
                </c:pt>
                <c:pt idx="11">
                  <c:v>1.3108599999999999</c:v>
                </c:pt>
                <c:pt idx="12">
                  <c:v>1.23567</c:v>
                </c:pt>
                <c:pt idx="13">
                  <c:v>1.1669099999999999</c:v>
                </c:pt>
                <c:pt idx="14">
                  <c:v>1.1058399999999999</c:v>
                </c:pt>
                <c:pt idx="15">
                  <c:v>1.05881</c:v>
                </c:pt>
                <c:pt idx="16">
                  <c:v>1.0221100000000001</c:v>
                </c:pt>
                <c:pt idx="17">
                  <c:v>1.0046299999999999</c:v>
                </c:pt>
                <c:pt idx="18">
                  <c:v>1.00057</c:v>
                </c:pt>
                <c:pt idx="19">
                  <c:v>1.01285</c:v>
                </c:pt>
                <c:pt idx="20">
                  <c:v>1.0401899999999999</c:v>
                </c:pt>
                <c:pt idx="21">
                  <c:v>1.0759700000000001</c:v>
                </c:pt>
                <c:pt idx="22">
                  <c:v>1.1341600000000001</c:v>
                </c:pt>
                <c:pt idx="23">
                  <c:v>1.20329</c:v>
                </c:pt>
                <c:pt idx="24">
                  <c:v>1.2741800000000001</c:v>
                </c:pt>
                <c:pt idx="25">
                  <c:v>1.35321</c:v>
                </c:pt>
                <c:pt idx="26">
                  <c:v>1.4330700000000001</c:v>
                </c:pt>
                <c:pt idx="27">
                  <c:v>1.5217799999999999</c:v>
                </c:pt>
                <c:pt idx="28">
                  <c:v>1.6082700000000001</c:v>
                </c:pt>
                <c:pt idx="29">
                  <c:v>1.6919500000000001</c:v>
                </c:pt>
                <c:pt idx="30">
                  <c:v>1.7687900000000001</c:v>
                </c:pt>
                <c:pt idx="31">
                  <c:v>1.83725</c:v>
                </c:pt>
                <c:pt idx="32">
                  <c:v>1.8992599999999999</c:v>
                </c:pt>
                <c:pt idx="33">
                  <c:v>1.94594</c:v>
                </c:pt>
                <c:pt idx="34">
                  <c:v>1.9740500000000001</c:v>
                </c:pt>
                <c:pt idx="35">
                  <c:v>1.9939899999999999</c:v>
                </c:pt>
                <c:pt idx="36">
                  <c:v>1.9981199999999999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8B-4F74-9886-A7CCE2CB1B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2730511"/>
        <c:axId val="1262718991"/>
      </c:scatterChart>
      <c:valAx>
        <c:axId val="1262730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62718991"/>
        <c:crosses val="autoZero"/>
        <c:crossBetween val="midCat"/>
      </c:valAx>
      <c:valAx>
        <c:axId val="1262718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627305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3445450568678916"/>
                  <c:y val="-1.099810440361621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'Exp1'!$O$7:$O$17</c:f>
              <c:numCache>
                <c:formatCode>General</c:formatCode>
                <c:ptCount val="11"/>
                <c:pt idx="0">
                  <c:v>40</c:v>
                </c:pt>
                <c:pt idx="1">
                  <c:v>50</c:v>
                </c:pt>
                <c:pt idx="2">
                  <c:v>60</c:v>
                </c:pt>
                <c:pt idx="3">
                  <c:v>70</c:v>
                </c:pt>
                <c:pt idx="4">
                  <c:v>80</c:v>
                </c:pt>
                <c:pt idx="5">
                  <c:v>90</c:v>
                </c:pt>
                <c:pt idx="6">
                  <c:v>100</c:v>
                </c:pt>
                <c:pt idx="7">
                  <c:v>110</c:v>
                </c:pt>
                <c:pt idx="8">
                  <c:v>120</c:v>
                </c:pt>
                <c:pt idx="9">
                  <c:v>130</c:v>
                </c:pt>
                <c:pt idx="10">
                  <c:v>140</c:v>
                </c:pt>
              </c:numCache>
            </c:numRef>
          </c:xVal>
          <c:yVal>
            <c:numRef>
              <c:f>'Exp1'!$P$7:$P$17</c:f>
              <c:numCache>
                <c:formatCode>General</c:formatCode>
                <c:ptCount val="11"/>
                <c:pt idx="0">
                  <c:v>1.8696699999999999</c:v>
                </c:pt>
                <c:pt idx="1">
                  <c:v>1.8041799999999999</c:v>
                </c:pt>
                <c:pt idx="2">
                  <c:v>1.7327999999999999</c:v>
                </c:pt>
                <c:pt idx="3">
                  <c:v>1.6488</c:v>
                </c:pt>
                <c:pt idx="4">
                  <c:v>1.5654300000000001</c:v>
                </c:pt>
                <c:pt idx="5">
                  <c:v>1.4789099999999999</c:v>
                </c:pt>
                <c:pt idx="6">
                  <c:v>1.3902699999999999</c:v>
                </c:pt>
                <c:pt idx="7">
                  <c:v>1.3108599999999999</c:v>
                </c:pt>
                <c:pt idx="8">
                  <c:v>1.23567</c:v>
                </c:pt>
                <c:pt idx="9">
                  <c:v>1.1669099999999999</c:v>
                </c:pt>
                <c:pt idx="10">
                  <c:v>1.1058399999999999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35F-40AC-BF9E-26FFFE2642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6704255"/>
        <c:axId val="1396706175"/>
      </c:scatterChart>
      <c:valAx>
        <c:axId val="1396704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96706175"/>
        <c:crosses val="autoZero"/>
        <c:crossBetween val="midCat"/>
      </c:valAx>
      <c:valAx>
        <c:axId val="1396706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96704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U(cos(t))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3714763779527559"/>
                  <c:y val="-0.1393055555555555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'Exp1'!$D$2:$D$38</c:f>
              <c:numCache>
                <c:formatCode>General</c:formatCode>
                <c:ptCount val="37"/>
                <c:pt idx="0">
                  <c:v>1</c:v>
                </c:pt>
                <c:pt idx="1">
                  <c:v>0.98480775301220802</c:v>
                </c:pt>
                <c:pt idx="2">
                  <c:v>0.93969262078590843</c:v>
                </c:pt>
                <c:pt idx="3">
                  <c:v>0.86602540378443871</c:v>
                </c:pt>
                <c:pt idx="4">
                  <c:v>0.76604444311897801</c:v>
                </c:pt>
                <c:pt idx="5">
                  <c:v>0.64278760968653936</c:v>
                </c:pt>
                <c:pt idx="6">
                  <c:v>0.50000000000000011</c:v>
                </c:pt>
                <c:pt idx="7">
                  <c:v>0.34202014332566882</c:v>
                </c:pt>
                <c:pt idx="8">
                  <c:v>0.17364817766693041</c:v>
                </c:pt>
                <c:pt idx="9">
                  <c:v>6.1257422745431001E-17</c:v>
                </c:pt>
                <c:pt idx="10">
                  <c:v>-0.1736481776669303</c:v>
                </c:pt>
                <c:pt idx="11">
                  <c:v>-0.34202014332566871</c:v>
                </c:pt>
                <c:pt idx="12">
                  <c:v>-0.49999999999999978</c:v>
                </c:pt>
                <c:pt idx="13">
                  <c:v>-0.64278760968653936</c:v>
                </c:pt>
                <c:pt idx="14">
                  <c:v>-0.7660444431189779</c:v>
                </c:pt>
                <c:pt idx="15">
                  <c:v>-0.86602540378443871</c:v>
                </c:pt>
                <c:pt idx="16">
                  <c:v>-0.93969262078590832</c:v>
                </c:pt>
                <c:pt idx="17">
                  <c:v>-0.98480775301220802</c:v>
                </c:pt>
                <c:pt idx="18">
                  <c:v>-1</c:v>
                </c:pt>
                <c:pt idx="19">
                  <c:v>-0.98480775301220802</c:v>
                </c:pt>
                <c:pt idx="20">
                  <c:v>-0.93969262078590843</c:v>
                </c:pt>
                <c:pt idx="21">
                  <c:v>-0.8660254037844386</c:v>
                </c:pt>
                <c:pt idx="22">
                  <c:v>-0.76604444311897801</c:v>
                </c:pt>
                <c:pt idx="23">
                  <c:v>-0.64278760968653947</c:v>
                </c:pt>
                <c:pt idx="24">
                  <c:v>-0.50000000000000044</c:v>
                </c:pt>
                <c:pt idx="25">
                  <c:v>-0.34202014332566938</c:v>
                </c:pt>
                <c:pt idx="26">
                  <c:v>-0.17364817766693033</c:v>
                </c:pt>
                <c:pt idx="27">
                  <c:v>-1.83772268236293E-16</c:v>
                </c:pt>
                <c:pt idx="28">
                  <c:v>0.17364817766692997</c:v>
                </c:pt>
                <c:pt idx="29">
                  <c:v>0.34202014332566816</c:v>
                </c:pt>
                <c:pt idx="30">
                  <c:v>0.50000000000000011</c:v>
                </c:pt>
                <c:pt idx="31">
                  <c:v>0.64278760968653925</c:v>
                </c:pt>
                <c:pt idx="32">
                  <c:v>0.76604444311897779</c:v>
                </c:pt>
                <c:pt idx="33">
                  <c:v>0.86602540378443837</c:v>
                </c:pt>
                <c:pt idx="34">
                  <c:v>0.93969262078590843</c:v>
                </c:pt>
                <c:pt idx="35">
                  <c:v>0.98480775301220791</c:v>
                </c:pt>
                <c:pt idx="36">
                  <c:v>1</c:v>
                </c:pt>
              </c:numCache>
            </c:numRef>
          </c:xVal>
          <c:yVal>
            <c:numRef>
              <c:f>'Exp1'!$B$2:$B$38</c:f>
              <c:numCache>
                <c:formatCode>General</c:formatCode>
                <c:ptCount val="37"/>
                <c:pt idx="0">
                  <c:v>1.99685</c:v>
                </c:pt>
                <c:pt idx="1">
                  <c:v>1.98682</c:v>
                </c:pt>
                <c:pt idx="2">
                  <c:v>1.9598199999999999</c:v>
                </c:pt>
                <c:pt idx="3">
                  <c:v>1.91998</c:v>
                </c:pt>
                <c:pt idx="4">
                  <c:v>1.8696699999999999</c:v>
                </c:pt>
                <c:pt idx="5">
                  <c:v>1.8041799999999999</c:v>
                </c:pt>
                <c:pt idx="6">
                  <c:v>1.7327999999999999</c:v>
                </c:pt>
                <c:pt idx="7">
                  <c:v>1.6488</c:v>
                </c:pt>
                <c:pt idx="8">
                  <c:v>1.5654300000000001</c:v>
                </c:pt>
                <c:pt idx="9">
                  <c:v>1.4789099999999999</c:v>
                </c:pt>
                <c:pt idx="10">
                  <c:v>1.3902699999999999</c:v>
                </c:pt>
                <c:pt idx="11">
                  <c:v>1.3108599999999999</c:v>
                </c:pt>
                <c:pt idx="12">
                  <c:v>1.23567</c:v>
                </c:pt>
                <c:pt idx="13">
                  <c:v>1.1669099999999999</c:v>
                </c:pt>
                <c:pt idx="14">
                  <c:v>1.1058399999999999</c:v>
                </c:pt>
                <c:pt idx="15">
                  <c:v>1.05881</c:v>
                </c:pt>
                <c:pt idx="16">
                  <c:v>1.0221100000000001</c:v>
                </c:pt>
                <c:pt idx="17">
                  <c:v>1.0046299999999999</c:v>
                </c:pt>
                <c:pt idx="18">
                  <c:v>1.00057</c:v>
                </c:pt>
                <c:pt idx="19">
                  <c:v>1.01285</c:v>
                </c:pt>
                <c:pt idx="20">
                  <c:v>1.0401899999999999</c:v>
                </c:pt>
                <c:pt idx="21">
                  <c:v>1.0759700000000001</c:v>
                </c:pt>
                <c:pt idx="22">
                  <c:v>1.1341600000000001</c:v>
                </c:pt>
                <c:pt idx="23">
                  <c:v>1.20329</c:v>
                </c:pt>
                <c:pt idx="24">
                  <c:v>1.2741800000000001</c:v>
                </c:pt>
                <c:pt idx="25">
                  <c:v>1.35321</c:v>
                </c:pt>
                <c:pt idx="26">
                  <c:v>1.4330700000000001</c:v>
                </c:pt>
                <c:pt idx="27">
                  <c:v>1.5217799999999999</c:v>
                </c:pt>
                <c:pt idx="28">
                  <c:v>1.6082700000000001</c:v>
                </c:pt>
                <c:pt idx="29">
                  <c:v>1.6919500000000001</c:v>
                </c:pt>
                <c:pt idx="30">
                  <c:v>1.7687900000000001</c:v>
                </c:pt>
                <c:pt idx="31">
                  <c:v>1.83725</c:v>
                </c:pt>
                <c:pt idx="32">
                  <c:v>1.8992599999999999</c:v>
                </c:pt>
                <c:pt idx="33">
                  <c:v>1.94594</c:v>
                </c:pt>
                <c:pt idx="34">
                  <c:v>1.9740500000000001</c:v>
                </c:pt>
                <c:pt idx="35">
                  <c:v>1.9939899999999999</c:v>
                </c:pt>
                <c:pt idx="36">
                  <c:v>1.9981199999999999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B00-4709-A410-9308B0AB8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6045119"/>
        <c:axId val="1496045599"/>
      </c:scatterChart>
      <c:valAx>
        <c:axId val="1496045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96045599"/>
        <c:crosses val="autoZero"/>
        <c:crossBetween val="midCat"/>
      </c:valAx>
      <c:valAx>
        <c:axId val="1496045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96045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U()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6858705161854774E-2"/>
          <c:y val="0.15782407407407409"/>
          <c:w val="0.87747462817147859"/>
          <c:h val="0.72125801983085447"/>
        </c:manualLayout>
      </c:layout>
      <c:scatterChart>
        <c:scatterStyle val="lineMarker"/>
        <c:varyColors val="0"/>
        <c:ser>
          <c:idx val="0"/>
          <c:order val="0"/>
          <c:tx>
            <c:strRef>
              <c:f>'Exp1'!$B$1</c:f>
              <c:strCache>
                <c:ptCount val="1"/>
                <c:pt idx="0">
                  <c:v>Tension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xVal>
            <c:numRef>
              <c:f>'Exp1'!$A$2:$A$38</c:f>
              <c:numCache>
                <c:formatCode>General</c:formatCode>
                <c:ptCount val="3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</c:numCache>
            </c:numRef>
          </c:xVal>
          <c:yVal>
            <c:numRef>
              <c:f>'Exp1'!$B$2:$B$38</c:f>
              <c:numCache>
                <c:formatCode>General</c:formatCode>
                <c:ptCount val="37"/>
                <c:pt idx="0">
                  <c:v>1.99685</c:v>
                </c:pt>
                <c:pt idx="1">
                  <c:v>1.98682</c:v>
                </c:pt>
                <c:pt idx="2">
                  <c:v>1.9598199999999999</c:v>
                </c:pt>
                <c:pt idx="3">
                  <c:v>1.91998</c:v>
                </c:pt>
                <c:pt idx="4">
                  <c:v>1.8696699999999999</c:v>
                </c:pt>
                <c:pt idx="5">
                  <c:v>1.8041799999999999</c:v>
                </c:pt>
                <c:pt idx="6">
                  <c:v>1.7327999999999999</c:v>
                </c:pt>
                <c:pt idx="7">
                  <c:v>1.6488</c:v>
                </c:pt>
                <c:pt idx="8">
                  <c:v>1.5654300000000001</c:v>
                </c:pt>
                <c:pt idx="9">
                  <c:v>1.4789099999999999</c:v>
                </c:pt>
                <c:pt idx="10">
                  <c:v>1.3902699999999999</c:v>
                </c:pt>
                <c:pt idx="11">
                  <c:v>1.3108599999999999</c:v>
                </c:pt>
                <c:pt idx="12">
                  <c:v>1.23567</c:v>
                </c:pt>
                <c:pt idx="13">
                  <c:v>1.1669099999999999</c:v>
                </c:pt>
                <c:pt idx="14">
                  <c:v>1.1058399999999999</c:v>
                </c:pt>
                <c:pt idx="15">
                  <c:v>1.05881</c:v>
                </c:pt>
                <c:pt idx="16">
                  <c:v>1.0221100000000001</c:v>
                </c:pt>
                <c:pt idx="17">
                  <c:v>1.0046299999999999</c:v>
                </c:pt>
                <c:pt idx="18">
                  <c:v>1.00057</c:v>
                </c:pt>
                <c:pt idx="19">
                  <c:v>1.01285</c:v>
                </c:pt>
                <c:pt idx="20">
                  <c:v>1.0401899999999999</c:v>
                </c:pt>
                <c:pt idx="21">
                  <c:v>1.0759700000000001</c:v>
                </c:pt>
                <c:pt idx="22">
                  <c:v>1.1341600000000001</c:v>
                </c:pt>
                <c:pt idx="23">
                  <c:v>1.20329</c:v>
                </c:pt>
                <c:pt idx="24">
                  <c:v>1.2741800000000001</c:v>
                </c:pt>
                <c:pt idx="25">
                  <c:v>1.35321</c:v>
                </c:pt>
                <c:pt idx="26">
                  <c:v>1.4330700000000001</c:v>
                </c:pt>
                <c:pt idx="27">
                  <c:v>1.5217799999999999</c:v>
                </c:pt>
                <c:pt idx="28">
                  <c:v>1.6082700000000001</c:v>
                </c:pt>
                <c:pt idx="29">
                  <c:v>1.6919500000000001</c:v>
                </c:pt>
                <c:pt idx="30">
                  <c:v>1.7687900000000001</c:v>
                </c:pt>
                <c:pt idx="31">
                  <c:v>1.83725</c:v>
                </c:pt>
                <c:pt idx="32">
                  <c:v>1.8992599999999999</c:v>
                </c:pt>
                <c:pt idx="33">
                  <c:v>1.94594</c:v>
                </c:pt>
                <c:pt idx="34">
                  <c:v>1.9740500000000001</c:v>
                </c:pt>
                <c:pt idx="35">
                  <c:v>1.9939899999999999</c:v>
                </c:pt>
                <c:pt idx="36">
                  <c:v>1.9981199999999999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BE-4776-B281-B537191A6B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2730511"/>
        <c:axId val="1262718991"/>
      </c:scatterChart>
      <c:valAx>
        <c:axId val="1262730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62718991"/>
        <c:crosses val="autoZero"/>
        <c:crossBetween val="midCat"/>
      </c:valAx>
      <c:valAx>
        <c:axId val="1262718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627305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3445450568678916"/>
                  <c:y val="-1.099810440361621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'Exp1'!$O$7:$O$17</c:f>
              <c:numCache>
                <c:formatCode>General</c:formatCode>
                <c:ptCount val="11"/>
                <c:pt idx="0">
                  <c:v>40</c:v>
                </c:pt>
                <c:pt idx="1">
                  <c:v>50</c:v>
                </c:pt>
                <c:pt idx="2">
                  <c:v>60</c:v>
                </c:pt>
                <c:pt idx="3">
                  <c:v>70</c:v>
                </c:pt>
                <c:pt idx="4">
                  <c:v>80</c:v>
                </c:pt>
                <c:pt idx="5">
                  <c:v>90</c:v>
                </c:pt>
                <c:pt idx="6">
                  <c:v>100</c:v>
                </c:pt>
                <c:pt idx="7">
                  <c:v>110</c:v>
                </c:pt>
                <c:pt idx="8">
                  <c:v>120</c:v>
                </c:pt>
                <c:pt idx="9">
                  <c:v>130</c:v>
                </c:pt>
                <c:pt idx="10">
                  <c:v>140</c:v>
                </c:pt>
              </c:numCache>
            </c:numRef>
          </c:xVal>
          <c:yVal>
            <c:numRef>
              <c:f>'Exp1'!$P$7:$P$17</c:f>
              <c:numCache>
                <c:formatCode>General</c:formatCode>
                <c:ptCount val="11"/>
                <c:pt idx="0">
                  <c:v>1.8696699999999999</c:v>
                </c:pt>
                <c:pt idx="1">
                  <c:v>1.8041799999999999</c:v>
                </c:pt>
                <c:pt idx="2">
                  <c:v>1.7327999999999999</c:v>
                </c:pt>
                <c:pt idx="3">
                  <c:v>1.6488</c:v>
                </c:pt>
                <c:pt idx="4">
                  <c:v>1.5654300000000001</c:v>
                </c:pt>
                <c:pt idx="5">
                  <c:v>1.4789099999999999</c:v>
                </c:pt>
                <c:pt idx="6">
                  <c:v>1.3902699999999999</c:v>
                </c:pt>
                <c:pt idx="7">
                  <c:v>1.3108599999999999</c:v>
                </c:pt>
                <c:pt idx="8">
                  <c:v>1.23567</c:v>
                </c:pt>
                <c:pt idx="9">
                  <c:v>1.1669099999999999</c:v>
                </c:pt>
                <c:pt idx="10">
                  <c:v>1.1058399999999999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782-4999-ABC0-5A5148BFA0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6704255"/>
        <c:axId val="1396706175"/>
      </c:scatterChart>
      <c:valAx>
        <c:axId val="1396704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96706175"/>
        <c:crosses val="autoZero"/>
        <c:crossBetween val="midCat"/>
      </c:valAx>
      <c:valAx>
        <c:axId val="1396706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96704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U(cos(t))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3714763779527559"/>
                  <c:y val="-0.1393055555555555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'Exp1'!$D$2:$D$38</c:f>
              <c:numCache>
                <c:formatCode>General</c:formatCode>
                <c:ptCount val="37"/>
                <c:pt idx="0">
                  <c:v>1</c:v>
                </c:pt>
                <c:pt idx="1">
                  <c:v>0.98480775301220802</c:v>
                </c:pt>
                <c:pt idx="2">
                  <c:v>0.93969262078590843</c:v>
                </c:pt>
                <c:pt idx="3">
                  <c:v>0.86602540378443871</c:v>
                </c:pt>
                <c:pt idx="4">
                  <c:v>0.76604444311897801</c:v>
                </c:pt>
                <c:pt idx="5">
                  <c:v>0.64278760968653936</c:v>
                </c:pt>
                <c:pt idx="6">
                  <c:v>0.50000000000000011</c:v>
                </c:pt>
                <c:pt idx="7">
                  <c:v>0.34202014332566882</c:v>
                </c:pt>
                <c:pt idx="8">
                  <c:v>0.17364817766693041</c:v>
                </c:pt>
                <c:pt idx="9">
                  <c:v>6.1257422745431001E-17</c:v>
                </c:pt>
                <c:pt idx="10">
                  <c:v>-0.1736481776669303</c:v>
                </c:pt>
                <c:pt idx="11">
                  <c:v>-0.34202014332566871</c:v>
                </c:pt>
                <c:pt idx="12">
                  <c:v>-0.49999999999999978</c:v>
                </c:pt>
                <c:pt idx="13">
                  <c:v>-0.64278760968653936</c:v>
                </c:pt>
                <c:pt idx="14">
                  <c:v>-0.7660444431189779</c:v>
                </c:pt>
                <c:pt idx="15">
                  <c:v>-0.86602540378443871</c:v>
                </c:pt>
                <c:pt idx="16">
                  <c:v>-0.93969262078590832</c:v>
                </c:pt>
                <c:pt idx="17">
                  <c:v>-0.98480775301220802</c:v>
                </c:pt>
                <c:pt idx="18">
                  <c:v>-1</c:v>
                </c:pt>
                <c:pt idx="19">
                  <c:v>-0.98480775301220802</c:v>
                </c:pt>
                <c:pt idx="20">
                  <c:v>-0.93969262078590843</c:v>
                </c:pt>
                <c:pt idx="21">
                  <c:v>-0.8660254037844386</c:v>
                </c:pt>
                <c:pt idx="22">
                  <c:v>-0.76604444311897801</c:v>
                </c:pt>
                <c:pt idx="23">
                  <c:v>-0.64278760968653947</c:v>
                </c:pt>
                <c:pt idx="24">
                  <c:v>-0.50000000000000044</c:v>
                </c:pt>
                <c:pt idx="25">
                  <c:v>-0.34202014332566938</c:v>
                </c:pt>
                <c:pt idx="26">
                  <c:v>-0.17364817766693033</c:v>
                </c:pt>
                <c:pt idx="27">
                  <c:v>-1.83772268236293E-16</c:v>
                </c:pt>
                <c:pt idx="28">
                  <c:v>0.17364817766692997</c:v>
                </c:pt>
                <c:pt idx="29">
                  <c:v>0.34202014332566816</c:v>
                </c:pt>
                <c:pt idx="30">
                  <c:v>0.50000000000000011</c:v>
                </c:pt>
                <c:pt idx="31">
                  <c:v>0.64278760968653925</c:v>
                </c:pt>
                <c:pt idx="32">
                  <c:v>0.76604444311897779</c:v>
                </c:pt>
                <c:pt idx="33">
                  <c:v>0.86602540378443837</c:v>
                </c:pt>
                <c:pt idx="34">
                  <c:v>0.93969262078590843</c:v>
                </c:pt>
                <c:pt idx="35">
                  <c:v>0.98480775301220791</c:v>
                </c:pt>
                <c:pt idx="36">
                  <c:v>1</c:v>
                </c:pt>
              </c:numCache>
            </c:numRef>
          </c:xVal>
          <c:yVal>
            <c:numRef>
              <c:f>'Exp1'!$B$2:$B$38</c:f>
              <c:numCache>
                <c:formatCode>General</c:formatCode>
                <c:ptCount val="37"/>
                <c:pt idx="0">
                  <c:v>1.99685</c:v>
                </c:pt>
                <c:pt idx="1">
                  <c:v>1.98682</c:v>
                </c:pt>
                <c:pt idx="2">
                  <c:v>1.9598199999999999</c:v>
                </c:pt>
                <c:pt idx="3">
                  <c:v>1.91998</c:v>
                </c:pt>
                <c:pt idx="4">
                  <c:v>1.8696699999999999</c:v>
                </c:pt>
                <c:pt idx="5">
                  <c:v>1.8041799999999999</c:v>
                </c:pt>
                <c:pt idx="6">
                  <c:v>1.7327999999999999</c:v>
                </c:pt>
                <c:pt idx="7">
                  <c:v>1.6488</c:v>
                </c:pt>
                <c:pt idx="8">
                  <c:v>1.5654300000000001</c:v>
                </c:pt>
                <c:pt idx="9">
                  <c:v>1.4789099999999999</c:v>
                </c:pt>
                <c:pt idx="10">
                  <c:v>1.3902699999999999</c:v>
                </c:pt>
                <c:pt idx="11">
                  <c:v>1.3108599999999999</c:v>
                </c:pt>
                <c:pt idx="12">
                  <c:v>1.23567</c:v>
                </c:pt>
                <c:pt idx="13">
                  <c:v>1.1669099999999999</c:v>
                </c:pt>
                <c:pt idx="14">
                  <c:v>1.1058399999999999</c:v>
                </c:pt>
                <c:pt idx="15">
                  <c:v>1.05881</c:v>
                </c:pt>
                <c:pt idx="16">
                  <c:v>1.0221100000000001</c:v>
                </c:pt>
                <c:pt idx="17">
                  <c:v>1.0046299999999999</c:v>
                </c:pt>
                <c:pt idx="18">
                  <c:v>1.00057</c:v>
                </c:pt>
                <c:pt idx="19">
                  <c:v>1.01285</c:v>
                </c:pt>
                <c:pt idx="20">
                  <c:v>1.0401899999999999</c:v>
                </c:pt>
                <c:pt idx="21">
                  <c:v>1.0759700000000001</c:v>
                </c:pt>
                <c:pt idx="22">
                  <c:v>1.1341600000000001</c:v>
                </c:pt>
                <c:pt idx="23">
                  <c:v>1.20329</c:v>
                </c:pt>
                <c:pt idx="24">
                  <c:v>1.2741800000000001</c:v>
                </c:pt>
                <c:pt idx="25">
                  <c:v>1.35321</c:v>
                </c:pt>
                <c:pt idx="26">
                  <c:v>1.4330700000000001</c:v>
                </c:pt>
                <c:pt idx="27">
                  <c:v>1.5217799999999999</c:v>
                </c:pt>
                <c:pt idx="28">
                  <c:v>1.6082700000000001</c:v>
                </c:pt>
                <c:pt idx="29">
                  <c:v>1.6919500000000001</c:v>
                </c:pt>
                <c:pt idx="30">
                  <c:v>1.7687900000000001</c:v>
                </c:pt>
                <c:pt idx="31">
                  <c:v>1.83725</c:v>
                </c:pt>
                <c:pt idx="32">
                  <c:v>1.8992599999999999</c:v>
                </c:pt>
                <c:pt idx="33">
                  <c:v>1.94594</c:v>
                </c:pt>
                <c:pt idx="34">
                  <c:v>1.9740500000000001</c:v>
                </c:pt>
                <c:pt idx="35">
                  <c:v>1.9939899999999999</c:v>
                </c:pt>
                <c:pt idx="36">
                  <c:v>1.9981199999999999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B08-4E53-90E1-1244778211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6045119"/>
        <c:axId val="1496045599"/>
      </c:scatterChart>
      <c:valAx>
        <c:axId val="1496045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96045599"/>
        <c:crosses val="autoZero"/>
        <c:crossBetween val="midCat"/>
      </c:valAx>
      <c:valAx>
        <c:axId val="1496045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96045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U()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6858705161854774E-2"/>
          <c:y val="0.15782407407407409"/>
          <c:w val="0.87747462817147859"/>
          <c:h val="0.72125801983085447"/>
        </c:manualLayout>
      </c:layout>
      <c:scatterChart>
        <c:scatterStyle val="lineMarker"/>
        <c:varyColors val="0"/>
        <c:ser>
          <c:idx val="0"/>
          <c:order val="0"/>
          <c:tx>
            <c:strRef>
              <c:f>'Exp1'!$B$1</c:f>
              <c:strCache>
                <c:ptCount val="1"/>
                <c:pt idx="0">
                  <c:v>Tension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xVal>
            <c:numRef>
              <c:f>'Exp1'!$A$2:$A$38</c:f>
              <c:numCache>
                <c:formatCode>General</c:formatCode>
                <c:ptCount val="3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</c:numCache>
            </c:numRef>
          </c:xVal>
          <c:yVal>
            <c:numRef>
              <c:f>'Exp1'!$B$2:$B$38</c:f>
              <c:numCache>
                <c:formatCode>General</c:formatCode>
                <c:ptCount val="37"/>
                <c:pt idx="0">
                  <c:v>1.99685</c:v>
                </c:pt>
                <c:pt idx="1">
                  <c:v>1.98682</c:v>
                </c:pt>
                <c:pt idx="2">
                  <c:v>1.9598199999999999</c:v>
                </c:pt>
                <c:pt idx="3">
                  <c:v>1.91998</c:v>
                </c:pt>
                <c:pt idx="4">
                  <c:v>1.8696699999999999</c:v>
                </c:pt>
                <c:pt idx="5">
                  <c:v>1.8041799999999999</c:v>
                </c:pt>
                <c:pt idx="6">
                  <c:v>1.7327999999999999</c:v>
                </c:pt>
                <c:pt idx="7">
                  <c:v>1.6488</c:v>
                </c:pt>
                <c:pt idx="8">
                  <c:v>1.5654300000000001</c:v>
                </c:pt>
                <c:pt idx="9">
                  <c:v>1.4789099999999999</c:v>
                </c:pt>
                <c:pt idx="10">
                  <c:v>1.3902699999999999</c:v>
                </c:pt>
                <c:pt idx="11">
                  <c:v>1.3108599999999999</c:v>
                </c:pt>
                <c:pt idx="12">
                  <c:v>1.23567</c:v>
                </c:pt>
                <c:pt idx="13">
                  <c:v>1.1669099999999999</c:v>
                </c:pt>
                <c:pt idx="14">
                  <c:v>1.1058399999999999</c:v>
                </c:pt>
                <c:pt idx="15">
                  <c:v>1.05881</c:v>
                </c:pt>
                <c:pt idx="16">
                  <c:v>1.0221100000000001</c:v>
                </c:pt>
                <c:pt idx="17">
                  <c:v>1.0046299999999999</c:v>
                </c:pt>
                <c:pt idx="18">
                  <c:v>1.00057</c:v>
                </c:pt>
                <c:pt idx="19">
                  <c:v>1.01285</c:v>
                </c:pt>
                <c:pt idx="20">
                  <c:v>1.0401899999999999</c:v>
                </c:pt>
                <c:pt idx="21">
                  <c:v>1.0759700000000001</c:v>
                </c:pt>
                <c:pt idx="22">
                  <c:v>1.1341600000000001</c:v>
                </c:pt>
                <c:pt idx="23">
                  <c:v>1.20329</c:v>
                </c:pt>
                <c:pt idx="24">
                  <c:v>1.2741800000000001</c:v>
                </c:pt>
                <c:pt idx="25">
                  <c:v>1.35321</c:v>
                </c:pt>
                <c:pt idx="26">
                  <c:v>1.4330700000000001</c:v>
                </c:pt>
                <c:pt idx="27">
                  <c:v>1.5217799999999999</c:v>
                </c:pt>
                <c:pt idx="28">
                  <c:v>1.6082700000000001</c:v>
                </c:pt>
                <c:pt idx="29">
                  <c:v>1.6919500000000001</c:v>
                </c:pt>
                <c:pt idx="30">
                  <c:v>1.7687900000000001</c:v>
                </c:pt>
                <c:pt idx="31">
                  <c:v>1.83725</c:v>
                </c:pt>
                <c:pt idx="32">
                  <c:v>1.8992599999999999</c:v>
                </c:pt>
                <c:pt idx="33">
                  <c:v>1.94594</c:v>
                </c:pt>
                <c:pt idx="34">
                  <c:v>1.9740500000000001</c:v>
                </c:pt>
                <c:pt idx="35">
                  <c:v>1.9939899999999999</c:v>
                </c:pt>
                <c:pt idx="36">
                  <c:v>1.9981199999999999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7A-444D-B399-89FE858DFC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2730511"/>
        <c:axId val="1262718991"/>
      </c:scatterChart>
      <c:valAx>
        <c:axId val="1262730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62718991"/>
        <c:crosses val="autoZero"/>
        <c:crossBetween val="midCat"/>
      </c:valAx>
      <c:valAx>
        <c:axId val="1262718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627305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3445450568678916"/>
                  <c:y val="-1.099810440361621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'Exp1'!$O$7:$O$17</c:f>
              <c:numCache>
                <c:formatCode>General</c:formatCode>
                <c:ptCount val="11"/>
                <c:pt idx="0">
                  <c:v>40</c:v>
                </c:pt>
                <c:pt idx="1">
                  <c:v>50</c:v>
                </c:pt>
                <c:pt idx="2">
                  <c:v>60</c:v>
                </c:pt>
                <c:pt idx="3">
                  <c:v>70</c:v>
                </c:pt>
                <c:pt idx="4">
                  <c:v>80</c:v>
                </c:pt>
                <c:pt idx="5">
                  <c:v>90</c:v>
                </c:pt>
                <c:pt idx="6">
                  <c:v>100</c:v>
                </c:pt>
                <c:pt idx="7">
                  <c:v>110</c:v>
                </c:pt>
                <c:pt idx="8">
                  <c:v>120</c:v>
                </c:pt>
                <c:pt idx="9">
                  <c:v>130</c:v>
                </c:pt>
                <c:pt idx="10">
                  <c:v>140</c:v>
                </c:pt>
              </c:numCache>
            </c:numRef>
          </c:xVal>
          <c:yVal>
            <c:numRef>
              <c:f>'Exp1'!$P$7:$P$17</c:f>
              <c:numCache>
                <c:formatCode>General</c:formatCode>
                <c:ptCount val="11"/>
                <c:pt idx="0">
                  <c:v>1.8696699999999999</c:v>
                </c:pt>
                <c:pt idx="1">
                  <c:v>1.8041799999999999</c:v>
                </c:pt>
                <c:pt idx="2">
                  <c:v>1.7327999999999999</c:v>
                </c:pt>
                <c:pt idx="3">
                  <c:v>1.6488</c:v>
                </c:pt>
                <c:pt idx="4">
                  <c:v>1.5654300000000001</c:v>
                </c:pt>
                <c:pt idx="5">
                  <c:v>1.4789099999999999</c:v>
                </c:pt>
                <c:pt idx="6">
                  <c:v>1.3902699999999999</c:v>
                </c:pt>
                <c:pt idx="7">
                  <c:v>1.3108599999999999</c:v>
                </c:pt>
                <c:pt idx="8">
                  <c:v>1.23567</c:v>
                </c:pt>
                <c:pt idx="9">
                  <c:v>1.1669099999999999</c:v>
                </c:pt>
                <c:pt idx="10">
                  <c:v>1.1058399999999999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00C-4792-8840-2126A6E6BA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6704255"/>
        <c:axId val="1396706175"/>
      </c:scatterChart>
      <c:valAx>
        <c:axId val="1396704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96706175"/>
        <c:crosses val="autoZero"/>
        <c:crossBetween val="midCat"/>
      </c:valAx>
      <c:valAx>
        <c:axId val="1396706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96704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U(cos(t))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3714763779527559"/>
                  <c:y val="-0.1393055555555555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'Exp1'!$D$2:$D$38</c:f>
              <c:numCache>
                <c:formatCode>General</c:formatCode>
                <c:ptCount val="37"/>
                <c:pt idx="0">
                  <c:v>1</c:v>
                </c:pt>
                <c:pt idx="1">
                  <c:v>0.98480775301220802</c:v>
                </c:pt>
                <c:pt idx="2">
                  <c:v>0.93969262078590843</c:v>
                </c:pt>
                <c:pt idx="3">
                  <c:v>0.86602540378443871</c:v>
                </c:pt>
                <c:pt idx="4">
                  <c:v>0.76604444311897801</c:v>
                </c:pt>
                <c:pt idx="5">
                  <c:v>0.64278760968653936</c:v>
                </c:pt>
                <c:pt idx="6">
                  <c:v>0.50000000000000011</c:v>
                </c:pt>
                <c:pt idx="7">
                  <c:v>0.34202014332566882</c:v>
                </c:pt>
                <c:pt idx="8">
                  <c:v>0.17364817766693041</c:v>
                </c:pt>
                <c:pt idx="9">
                  <c:v>6.1257422745431001E-17</c:v>
                </c:pt>
                <c:pt idx="10">
                  <c:v>-0.1736481776669303</c:v>
                </c:pt>
                <c:pt idx="11">
                  <c:v>-0.34202014332566871</c:v>
                </c:pt>
                <c:pt idx="12">
                  <c:v>-0.49999999999999978</c:v>
                </c:pt>
                <c:pt idx="13">
                  <c:v>-0.64278760968653936</c:v>
                </c:pt>
                <c:pt idx="14">
                  <c:v>-0.7660444431189779</c:v>
                </c:pt>
                <c:pt idx="15">
                  <c:v>-0.86602540378443871</c:v>
                </c:pt>
                <c:pt idx="16">
                  <c:v>-0.93969262078590832</c:v>
                </c:pt>
                <c:pt idx="17">
                  <c:v>-0.98480775301220802</c:v>
                </c:pt>
                <c:pt idx="18">
                  <c:v>-1</c:v>
                </c:pt>
                <c:pt idx="19">
                  <c:v>-0.98480775301220802</c:v>
                </c:pt>
                <c:pt idx="20">
                  <c:v>-0.93969262078590843</c:v>
                </c:pt>
                <c:pt idx="21">
                  <c:v>-0.8660254037844386</c:v>
                </c:pt>
                <c:pt idx="22">
                  <c:v>-0.76604444311897801</c:v>
                </c:pt>
                <c:pt idx="23">
                  <c:v>-0.64278760968653947</c:v>
                </c:pt>
                <c:pt idx="24">
                  <c:v>-0.50000000000000044</c:v>
                </c:pt>
                <c:pt idx="25">
                  <c:v>-0.34202014332566938</c:v>
                </c:pt>
                <c:pt idx="26">
                  <c:v>-0.17364817766693033</c:v>
                </c:pt>
                <c:pt idx="27">
                  <c:v>-1.83772268236293E-16</c:v>
                </c:pt>
                <c:pt idx="28">
                  <c:v>0.17364817766692997</c:v>
                </c:pt>
                <c:pt idx="29">
                  <c:v>0.34202014332566816</c:v>
                </c:pt>
                <c:pt idx="30">
                  <c:v>0.50000000000000011</c:v>
                </c:pt>
                <c:pt idx="31">
                  <c:v>0.64278760968653925</c:v>
                </c:pt>
                <c:pt idx="32">
                  <c:v>0.76604444311897779</c:v>
                </c:pt>
                <c:pt idx="33">
                  <c:v>0.86602540378443837</c:v>
                </c:pt>
                <c:pt idx="34">
                  <c:v>0.93969262078590843</c:v>
                </c:pt>
                <c:pt idx="35">
                  <c:v>0.98480775301220791</c:v>
                </c:pt>
                <c:pt idx="36">
                  <c:v>1</c:v>
                </c:pt>
              </c:numCache>
            </c:numRef>
          </c:xVal>
          <c:yVal>
            <c:numRef>
              <c:f>'Exp1'!$B$2:$B$38</c:f>
              <c:numCache>
                <c:formatCode>General</c:formatCode>
                <c:ptCount val="37"/>
                <c:pt idx="0">
                  <c:v>1.99685</c:v>
                </c:pt>
                <c:pt idx="1">
                  <c:v>1.98682</c:v>
                </c:pt>
                <c:pt idx="2">
                  <c:v>1.9598199999999999</c:v>
                </c:pt>
                <c:pt idx="3">
                  <c:v>1.91998</c:v>
                </c:pt>
                <c:pt idx="4">
                  <c:v>1.8696699999999999</c:v>
                </c:pt>
                <c:pt idx="5">
                  <c:v>1.8041799999999999</c:v>
                </c:pt>
                <c:pt idx="6">
                  <c:v>1.7327999999999999</c:v>
                </c:pt>
                <c:pt idx="7">
                  <c:v>1.6488</c:v>
                </c:pt>
                <c:pt idx="8">
                  <c:v>1.5654300000000001</c:v>
                </c:pt>
                <c:pt idx="9">
                  <c:v>1.4789099999999999</c:v>
                </c:pt>
                <c:pt idx="10">
                  <c:v>1.3902699999999999</c:v>
                </c:pt>
                <c:pt idx="11">
                  <c:v>1.3108599999999999</c:v>
                </c:pt>
                <c:pt idx="12">
                  <c:v>1.23567</c:v>
                </c:pt>
                <c:pt idx="13">
                  <c:v>1.1669099999999999</c:v>
                </c:pt>
                <c:pt idx="14">
                  <c:v>1.1058399999999999</c:v>
                </c:pt>
                <c:pt idx="15">
                  <c:v>1.05881</c:v>
                </c:pt>
                <c:pt idx="16">
                  <c:v>1.0221100000000001</c:v>
                </c:pt>
                <c:pt idx="17">
                  <c:v>1.0046299999999999</c:v>
                </c:pt>
                <c:pt idx="18">
                  <c:v>1.00057</c:v>
                </c:pt>
                <c:pt idx="19">
                  <c:v>1.01285</c:v>
                </c:pt>
                <c:pt idx="20">
                  <c:v>1.0401899999999999</c:v>
                </c:pt>
                <c:pt idx="21">
                  <c:v>1.0759700000000001</c:v>
                </c:pt>
                <c:pt idx="22">
                  <c:v>1.1341600000000001</c:v>
                </c:pt>
                <c:pt idx="23">
                  <c:v>1.20329</c:v>
                </c:pt>
                <c:pt idx="24">
                  <c:v>1.2741800000000001</c:v>
                </c:pt>
                <c:pt idx="25">
                  <c:v>1.35321</c:v>
                </c:pt>
                <c:pt idx="26">
                  <c:v>1.4330700000000001</c:v>
                </c:pt>
                <c:pt idx="27">
                  <c:v>1.5217799999999999</c:v>
                </c:pt>
                <c:pt idx="28">
                  <c:v>1.6082700000000001</c:v>
                </c:pt>
                <c:pt idx="29">
                  <c:v>1.6919500000000001</c:v>
                </c:pt>
                <c:pt idx="30">
                  <c:v>1.7687900000000001</c:v>
                </c:pt>
                <c:pt idx="31">
                  <c:v>1.83725</c:v>
                </c:pt>
                <c:pt idx="32">
                  <c:v>1.8992599999999999</c:v>
                </c:pt>
                <c:pt idx="33">
                  <c:v>1.94594</c:v>
                </c:pt>
                <c:pt idx="34">
                  <c:v>1.9740500000000001</c:v>
                </c:pt>
                <c:pt idx="35">
                  <c:v>1.9939899999999999</c:v>
                </c:pt>
                <c:pt idx="36">
                  <c:v>1.9981199999999999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8BE-4251-A898-B4FF57FC0D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6045119"/>
        <c:axId val="1496045599"/>
      </c:scatterChart>
      <c:valAx>
        <c:axId val="1496045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96045599"/>
        <c:crosses val="autoZero"/>
        <c:crossBetween val="midCat"/>
      </c:valAx>
      <c:valAx>
        <c:axId val="1496045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96045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U()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6858705161854774E-2"/>
          <c:y val="0.15782407407407409"/>
          <c:w val="0.87747462817147859"/>
          <c:h val="0.72125801983085447"/>
        </c:manualLayout>
      </c:layout>
      <c:scatterChart>
        <c:scatterStyle val="lineMarker"/>
        <c:varyColors val="0"/>
        <c:ser>
          <c:idx val="0"/>
          <c:order val="0"/>
          <c:tx>
            <c:strRef>
              <c:f>'Exp1'!$B$1</c:f>
              <c:strCache>
                <c:ptCount val="1"/>
                <c:pt idx="0">
                  <c:v>Tension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xVal>
            <c:numRef>
              <c:f>'Exp1'!$A$2:$A$38</c:f>
              <c:numCache>
                <c:formatCode>General</c:formatCode>
                <c:ptCount val="3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</c:numCache>
            </c:numRef>
          </c:xVal>
          <c:yVal>
            <c:numRef>
              <c:f>'Exp1'!$B$2:$B$38</c:f>
              <c:numCache>
                <c:formatCode>General</c:formatCode>
                <c:ptCount val="37"/>
                <c:pt idx="0">
                  <c:v>1.99685</c:v>
                </c:pt>
                <c:pt idx="1">
                  <c:v>1.98682</c:v>
                </c:pt>
                <c:pt idx="2">
                  <c:v>1.9598199999999999</c:v>
                </c:pt>
                <c:pt idx="3">
                  <c:v>1.91998</c:v>
                </c:pt>
                <c:pt idx="4">
                  <c:v>1.8696699999999999</c:v>
                </c:pt>
                <c:pt idx="5">
                  <c:v>1.8041799999999999</c:v>
                </c:pt>
                <c:pt idx="6">
                  <c:v>1.7327999999999999</c:v>
                </c:pt>
                <c:pt idx="7">
                  <c:v>1.6488</c:v>
                </c:pt>
                <c:pt idx="8">
                  <c:v>1.5654300000000001</c:v>
                </c:pt>
                <c:pt idx="9">
                  <c:v>1.4789099999999999</c:v>
                </c:pt>
                <c:pt idx="10">
                  <c:v>1.3902699999999999</c:v>
                </c:pt>
                <c:pt idx="11">
                  <c:v>1.3108599999999999</c:v>
                </c:pt>
                <c:pt idx="12">
                  <c:v>1.23567</c:v>
                </c:pt>
                <c:pt idx="13">
                  <c:v>1.1669099999999999</c:v>
                </c:pt>
                <c:pt idx="14">
                  <c:v>1.1058399999999999</c:v>
                </c:pt>
                <c:pt idx="15">
                  <c:v>1.05881</c:v>
                </c:pt>
                <c:pt idx="16">
                  <c:v>1.0221100000000001</c:v>
                </c:pt>
                <c:pt idx="17">
                  <c:v>1.0046299999999999</c:v>
                </c:pt>
                <c:pt idx="18">
                  <c:v>1.00057</c:v>
                </c:pt>
                <c:pt idx="19">
                  <c:v>1.01285</c:v>
                </c:pt>
                <c:pt idx="20">
                  <c:v>1.0401899999999999</c:v>
                </c:pt>
                <c:pt idx="21">
                  <c:v>1.0759700000000001</c:v>
                </c:pt>
                <c:pt idx="22">
                  <c:v>1.1341600000000001</c:v>
                </c:pt>
                <c:pt idx="23">
                  <c:v>1.20329</c:v>
                </c:pt>
                <c:pt idx="24">
                  <c:v>1.2741800000000001</c:v>
                </c:pt>
                <c:pt idx="25">
                  <c:v>1.35321</c:v>
                </c:pt>
                <c:pt idx="26">
                  <c:v>1.4330700000000001</c:v>
                </c:pt>
                <c:pt idx="27">
                  <c:v>1.5217799999999999</c:v>
                </c:pt>
                <c:pt idx="28">
                  <c:v>1.6082700000000001</c:v>
                </c:pt>
                <c:pt idx="29">
                  <c:v>1.6919500000000001</c:v>
                </c:pt>
                <c:pt idx="30">
                  <c:v>1.7687900000000001</c:v>
                </c:pt>
                <c:pt idx="31">
                  <c:v>1.83725</c:v>
                </c:pt>
                <c:pt idx="32">
                  <c:v>1.8992599999999999</c:v>
                </c:pt>
                <c:pt idx="33">
                  <c:v>1.94594</c:v>
                </c:pt>
                <c:pt idx="34">
                  <c:v>1.9740500000000001</c:v>
                </c:pt>
                <c:pt idx="35">
                  <c:v>1.9939899999999999</c:v>
                </c:pt>
                <c:pt idx="36">
                  <c:v>1.9981199999999999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91D-4E26-BEDE-C00D029BD0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2730511"/>
        <c:axId val="1262718991"/>
      </c:scatterChart>
      <c:valAx>
        <c:axId val="1262730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62718991"/>
        <c:crosses val="autoZero"/>
        <c:crossBetween val="midCat"/>
      </c:valAx>
      <c:valAx>
        <c:axId val="1262718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627305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3445450568678916"/>
                  <c:y val="-1.099810440361621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'Exp1'!$O$7:$O$17</c:f>
              <c:numCache>
                <c:formatCode>General</c:formatCode>
                <c:ptCount val="11"/>
                <c:pt idx="0">
                  <c:v>40</c:v>
                </c:pt>
                <c:pt idx="1">
                  <c:v>50</c:v>
                </c:pt>
                <c:pt idx="2">
                  <c:v>60</c:v>
                </c:pt>
                <c:pt idx="3">
                  <c:v>70</c:v>
                </c:pt>
                <c:pt idx="4">
                  <c:v>80</c:v>
                </c:pt>
                <c:pt idx="5">
                  <c:v>90</c:v>
                </c:pt>
                <c:pt idx="6">
                  <c:v>100</c:v>
                </c:pt>
                <c:pt idx="7">
                  <c:v>110</c:v>
                </c:pt>
                <c:pt idx="8">
                  <c:v>120</c:v>
                </c:pt>
                <c:pt idx="9">
                  <c:v>130</c:v>
                </c:pt>
                <c:pt idx="10">
                  <c:v>140</c:v>
                </c:pt>
              </c:numCache>
            </c:numRef>
          </c:xVal>
          <c:yVal>
            <c:numRef>
              <c:f>'Exp1'!$P$7:$P$17</c:f>
              <c:numCache>
                <c:formatCode>General</c:formatCode>
                <c:ptCount val="11"/>
                <c:pt idx="0">
                  <c:v>1.8696699999999999</c:v>
                </c:pt>
                <c:pt idx="1">
                  <c:v>1.8041799999999999</c:v>
                </c:pt>
                <c:pt idx="2">
                  <c:v>1.7327999999999999</c:v>
                </c:pt>
                <c:pt idx="3">
                  <c:v>1.6488</c:v>
                </c:pt>
                <c:pt idx="4">
                  <c:v>1.5654300000000001</c:v>
                </c:pt>
                <c:pt idx="5">
                  <c:v>1.4789099999999999</c:v>
                </c:pt>
                <c:pt idx="6">
                  <c:v>1.3902699999999999</c:v>
                </c:pt>
                <c:pt idx="7">
                  <c:v>1.3108599999999999</c:v>
                </c:pt>
                <c:pt idx="8">
                  <c:v>1.23567</c:v>
                </c:pt>
                <c:pt idx="9">
                  <c:v>1.1669099999999999</c:v>
                </c:pt>
                <c:pt idx="10">
                  <c:v>1.1058399999999999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68F-4AB8-B8BA-B765BBA7B8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6704255"/>
        <c:axId val="1396706175"/>
      </c:scatterChart>
      <c:valAx>
        <c:axId val="1396704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96706175"/>
        <c:crosses val="autoZero"/>
        <c:crossBetween val="midCat"/>
      </c:valAx>
      <c:valAx>
        <c:axId val="1396706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96704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U(cos(t))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3714763779527559"/>
                  <c:y val="-0.1393055555555555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'Exp1'!$D$2:$D$38</c:f>
              <c:numCache>
                <c:formatCode>General</c:formatCode>
                <c:ptCount val="37"/>
                <c:pt idx="0">
                  <c:v>1</c:v>
                </c:pt>
                <c:pt idx="1">
                  <c:v>0.98480775301220802</c:v>
                </c:pt>
                <c:pt idx="2">
                  <c:v>0.93969262078590843</c:v>
                </c:pt>
                <c:pt idx="3">
                  <c:v>0.86602540378443871</c:v>
                </c:pt>
                <c:pt idx="4">
                  <c:v>0.76604444311897801</c:v>
                </c:pt>
                <c:pt idx="5">
                  <c:v>0.64278760968653936</c:v>
                </c:pt>
                <c:pt idx="6">
                  <c:v>0.50000000000000011</c:v>
                </c:pt>
                <c:pt idx="7">
                  <c:v>0.34202014332566882</c:v>
                </c:pt>
                <c:pt idx="8">
                  <c:v>0.17364817766693041</c:v>
                </c:pt>
                <c:pt idx="9">
                  <c:v>6.1257422745431001E-17</c:v>
                </c:pt>
                <c:pt idx="10">
                  <c:v>-0.1736481776669303</c:v>
                </c:pt>
                <c:pt idx="11">
                  <c:v>-0.34202014332566871</c:v>
                </c:pt>
                <c:pt idx="12">
                  <c:v>-0.49999999999999978</c:v>
                </c:pt>
                <c:pt idx="13">
                  <c:v>-0.64278760968653936</c:v>
                </c:pt>
                <c:pt idx="14">
                  <c:v>-0.7660444431189779</c:v>
                </c:pt>
                <c:pt idx="15">
                  <c:v>-0.86602540378443871</c:v>
                </c:pt>
                <c:pt idx="16">
                  <c:v>-0.93969262078590832</c:v>
                </c:pt>
                <c:pt idx="17">
                  <c:v>-0.98480775301220802</c:v>
                </c:pt>
                <c:pt idx="18">
                  <c:v>-1</c:v>
                </c:pt>
                <c:pt idx="19">
                  <c:v>-0.98480775301220802</c:v>
                </c:pt>
                <c:pt idx="20">
                  <c:v>-0.93969262078590843</c:v>
                </c:pt>
                <c:pt idx="21">
                  <c:v>-0.8660254037844386</c:v>
                </c:pt>
                <c:pt idx="22">
                  <c:v>-0.76604444311897801</c:v>
                </c:pt>
                <c:pt idx="23">
                  <c:v>-0.64278760968653947</c:v>
                </c:pt>
                <c:pt idx="24">
                  <c:v>-0.50000000000000044</c:v>
                </c:pt>
                <c:pt idx="25">
                  <c:v>-0.34202014332566938</c:v>
                </c:pt>
                <c:pt idx="26">
                  <c:v>-0.17364817766693033</c:v>
                </c:pt>
                <c:pt idx="27">
                  <c:v>-1.83772268236293E-16</c:v>
                </c:pt>
                <c:pt idx="28">
                  <c:v>0.17364817766692997</c:v>
                </c:pt>
                <c:pt idx="29">
                  <c:v>0.34202014332566816</c:v>
                </c:pt>
                <c:pt idx="30">
                  <c:v>0.50000000000000011</c:v>
                </c:pt>
                <c:pt idx="31">
                  <c:v>0.64278760968653925</c:v>
                </c:pt>
                <c:pt idx="32">
                  <c:v>0.76604444311897779</c:v>
                </c:pt>
                <c:pt idx="33">
                  <c:v>0.86602540378443837</c:v>
                </c:pt>
                <c:pt idx="34">
                  <c:v>0.93969262078590843</c:v>
                </c:pt>
                <c:pt idx="35">
                  <c:v>0.98480775301220791</c:v>
                </c:pt>
                <c:pt idx="36">
                  <c:v>1</c:v>
                </c:pt>
              </c:numCache>
            </c:numRef>
          </c:xVal>
          <c:yVal>
            <c:numRef>
              <c:f>'Exp1'!$B$2:$B$38</c:f>
              <c:numCache>
                <c:formatCode>General</c:formatCode>
                <c:ptCount val="37"/>
                <c:pt idx="0">
                  <c:v>1.99685</c:v>
                </c:pt>
                <c:pt idx="1">
                  <c:v>1.98682</c:v>
                </c:pt>
                <c:pt idx="2">
                  <c:v>1.9598199999999999</c:v>
                </c:pt>
                <c:pt idx="3">
                  <c:v>1.91998</c:v>
                </c:pt>
                <c:pt idx="4">
                  <c:v>1.8696699999999999</c:v>
                </c:pt>
                <c:pt idx="5">
                  <c:v>1.8041799999999999</c:v>
                </c:pt>
                <c:pt idx="6">
                  <c:v>1.7327999999999999</c:v>
                </c:pt>
                <c:pt idx="7">
                  <c:v>1.6488</c:v>
                </c:pt>
                <c:pt idx="8">
                  <c:v>1.5654300000000001</c:v>
                </c:pt>
                <c:pt idx="9">
                  <c:v>1.4789099999999999</c:v>
                </c:pt>
                <c:pt idx="10">
                  <c:v>1.3902699999999999</c:v>
                </c:pt>
                <c:pt idx="11">
                  <c:v>1.3108599999999999</c:v>
                </c:pt>
                <c:pt idx="12">
                  <c:v>1.23567</c:v>
                </c:pt>
                <c:pt idx="13">
                  <c:v>1.1669099999999999</c:v>
                </c:pt>
                <c:pt idx="14">
                  <c:v>1.1058399999999999</c:v>
                </c:pt>
                <c:pt idx="15">
                  <c:v>1.05881</c:v>
                </c:pt>
                <c:pt idx="16">
                  <c:v>1.0221100000000001</c:v>
                </c:pt>
                <c:pt idx="17">
                  <c:v>1.0046299999999999</c:v>
                </c:pt>
                <c:pt idx="18">
                  <c:v>1.00057</c:v>
                </c:pt>
                <c:pt idx="19">
                  <c:v>1.01285</c:v>
                </c:pt>
                <c:pt idx="20">
                  <c:v>1.0401899999999999</c:v>
                </c:pt>
                <c:pt idx="21">
                  <c:v>1.0759700000000001</c:v>
                </c:pt>
                <c:pt idx="22">
                  <c:v>1.1341600000000001</c:v>
                </c:pt>
                <c:pt idx="23">
                  <c:v>1.20329</c:v>
                </c:pt>
                <c:pt idx="24">
                  <c:v>1.2741800000000001</c:v>
                </c:pt>
                <c:pt idx="25">
                  <c:v>1.35321</c:v>
                </c:pt>
                <c:pt idx="26">
                  <c:v>1.4330700000000001</c:v>
                </c:pt>
                <c:pt idx="27">
                  <c:v>1.5217799999999999</c:v>
                </c:pt>
                <c:pt idx="28">
                  <c:v>1.6082700000000001</c:v>
                </c:pt>
                <c:pt idx="29">
                  <c:v>1.6919500000000001</c:v>
                </c:pt>
                <c:pt idx="30">
                  <c:v>1.7687900000000001</c:v>
                </c:pt>
                <c:pt idx="31">
                  <c:v>1.83725</c:v>
                </c:pt>
                <c:pt idx="32">
                  <c:v>1.8992599999999999</c:v>
                </c:pt>
                <c:pt idx="33">
                  <c:v>1.94594</c:v>
                </c:pt>
                <c:pt idx="34">
                  <c:v>1.9740500000000001</c:v>
                </c:pt>
                <c:pt idx="35">
                  <c:v>1.9939899999999999</c:v>
                </c:pt>
                <c:pt idx="36">
                  <c:v>1.9981199999999999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57C-496D-97C1-D7D85A9D0E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6045119"/>
        <c:axId val="1496045599"/>
      </c:scatterChart>
      <c:valAx>
        <c:axId val="1496045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96045599"/>
        <c:crosses val="autoZero"/>
        <c:crossBetween val="midCat"/>
      </c:valAx>
      <c:valAx>
        <c:axId val="1496045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96045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750081</xdr:colOff>
      <xdr:row>3</xdr:row>
      <xdr:rowOff>10720</xdr:rowOff>
    </xdr:from>
    <xdr:to>
      <xdr:col>12</xdr:col>
      <xdr:colOff>750081</xdr:colOff>
      <xdr:row>17</xdr:row>
      <xdr:rowOff>86920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256E028B-B18E-F307-7CE2-CB864CE019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654831</xdr:colOff>
      <xdr:row>19</xdr:row>
      <xdr:rowOff>140915</xdr:rowOff>
    </xdr:from>
    <xdr:to>
      <xdr:col>12</xdr:col>
      <xdr:colOff>654831</xdr:colOff>
      <xdr:row>34</xdr:row>
      <xdr:rowOff>26615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292E488E-BF77-E159-63C9-355A899491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38100</xdr:colOff>
      <xdr:row>35</xdr:row>
      <xdr:rowOff>190219</xdr:rowOff>
    </xdr:from>
    <xdr:to>
      <xdr:col>13</xdr:col>
      <xdr:colOff>38100</xdr:colOff>
      <xdr:row>50</xdr:row>
      <xdr:rowOff>75919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01E78F68-81D0-70E5-F074-95FF61137E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750081</xdr:colOff>
      <xdr:row>3</xdr:row>
      <xdr:rowOff>10720</xdr:rowOff>
    </xdr:from>
    <xdr:to>
      <xdr:col>12</xdr:col>
      <xdr:colOff>750081</xdr:colOff>
      <xdr:row>17</xdr:row>
      <xdr:rowOff>86920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650AE77-6B16-4548-A89A-EB18564DD6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654831</xdr:colOff>
      <xdr:row>19</xdr:row>
      <xdr:rowOff>140915</xdr:rowOff>
    </xdr:from>
    <xdr:to>
      <xdr:col>12</xdr:col>
      <xdr:colOff>654831</xdr:colOff>
      <xdr:row>34</xdr:row>
      <xdr:rowOff>26615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F1267177-C3F7-4C36-9EF9-B3017F5011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38100</xdr:colOff>
      <xdr:row>35</xdr:row>
      <xdr:rowOff>190219</xdr:rowOff>
    </xdr:from>
    <xdr:to>
      <xdr:col>13</xdr:col>
      <xdr:colOff>38100</xdr:colOff>
      <xdr:row>50</xdr:row>
      <xdr:rowOff>75919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D769B147-70B6-48DA-8CBA-ECBC1688A2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750081</xdr:colOff>
      <xdr:row>3</xdr:row>
      <xdr:rowOff>10720</xdr:rowOff>
    </xdr:from>
    <xdr:to>
      <xdr:col>12</xdr:col>
      <xdr:colOff>750081</xdr:colOff>
      <xdr:row>17</xdr:row>
      <xdr:rowOff>86920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BB1D078-5A45-4D5A-8D77-E3E84B088F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654831</xdr:colOff>
      <xdr:row>19</xdr:row>
      <xdr:rowOff>140915</xdr:rowOff>
    </xdr:from>
    <xdr:to>
      <xdr:col>12</xdr:col>
      <xdr:colOff>654831</xdr:colOff>
      <xdr:row>34</xdr:row>
      <xdr:rowOff>26615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210995AA-4A84-4725-9EBA-046E79662D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38100</xdr:colOff>
      <xdr:row>35</xdr:row>
      <xdr:rowOff>190219</xdr:rowOff>
    </xdr:from>
    <xdr:to>
      <xdr:col>13</xdr:col>
      <xdr:colOff>38100</xdr:colOff>
      <xdr:row>50</xdr:row>
      <xdr:rowOff>75919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4BF6A20E-A804-4E9D-BF70-B33EAD461A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750081</xdr:colOff>
      <xdr:row>3</xdr:row>
      <xdr:rowOff>10720</xdr:rowOff>
    </xdr:from>
    <xdr:to>
      <xdr:col>12</xdr:col>
      <xdr:colOff>750081</xdr:colOff>
      <xdr:row>17</xdr:row>
      <xdr:rowOff>86920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BE20A227-875E-4AA2-B2FA-AE299FBB9D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654831</xdr:colOff>
      <xdr:row>19</xdr:row>
      <xdr:rowOff>140915</xdr:rowOff>
    </xdr:from>
    <xdr:to>
      <xdr:col>12</xdr:col>
      <xdr:colOff>654831</xdr:colOff>
      <xdr:row>34</xdr:row>
      <xdr:rowOff>26615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F416E9FB-4F98-4C26-81FE-B529B9FB4E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38100</xdr:colOff>
      <xdr:row>35</xdr:row>
      <xdr:rowOff>190219</xdr:rowOff>
    </xdr:from>
    <xdr:to>
      <xdr:col>13</xdr:col>
      <xdr:colOff>38100</xdr:colOff>
      <xdr:row>50</xdr:row>
      <xdr:rowOff>75919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D7890C73-62D7-4659-9FDA-F2072F6D8A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750081</xdr:colOff>
      <xdr:row>3</xdr:row>
      <xdr:rowOff>10720</xdr:rowOff>
    </xdr:from>
    <xdr:to>
      <xdr:col>12</xdr:col>
      <xdr:colOff>750081</xdr:colOff>
      <xdr:row>17</xdr:row>
      <xdr:rowOff>86920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01229CA-C350-4054-9A42-35E164D1C3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654831</xdr:colOff>
      <xdr:row>19</xdr:row>
      <xdr:rowOff>140915</xdr:rowOff>
    </xdr:from>
    <xdr:to>
      <xdr:col>12</xdr:col>
      <xdr:colOff>654831</xdr:colOff>
      <xdr:row>34</xdr:row>
      <xdr:rowOff>26615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FCEF921F-03B8-4AD8-BCA7-3D5F6947B9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38100</xdr:colOff>
      <xdr:row>35</xdr:row>
      <xdr:rowOff>190219</xdr:rowOff>
    </xdr:from>
    <xdr:to>
      <xdr:col>13</xdr:col>
      <xdr:colOff>38100</xdr:colOff>
      <xdr:row>50</xdr:row>
      <xdr:rowOff>75919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C7FA354C-00C4-413A-8957-2DE4A74FA5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180831-3339-4D63-8399-BF65BB5D91A4}" name="Tableau1" displayName="Tableau1" ref="A1:D38" totalsRowShown="0" headerRowDxfId="29" dataDxfId="28">
  <autoFilter ref="A1:D38" xr:uid="{2E180831-3339-4D63-8399-BF65BB5D91A4}"/>
  <tableColumns count="4">
    <tableColumn id="1" xr3:uid="{8F458E82-C54D-4625-A4D0-DFC412FB27EE}" name="Angle \ deg " dataDxfId="27"/>
    <tableColumn id="2" xr3:uid="{8C142C56-A78B-4DC6-8CEE-75693AC539DA}" name="Tension" dataDxfId="26"/>
    <tableColumn id="3" xr3:uid="{C08D3DB5-E567-4CF2-BEE6-263E2D4C5B45}" name="Colonne1" dataDxfId="25">
      <calculatedColumnFormula>Tableau1[[#This Row],[Angle \ deg ]]*PI()/180</calculatedColumnFormula>
    </tableColumn>
    <tableColumn id="4" xr3:uid="{17F2039B-29FD-4527-A766-A8D7FD87BD9C}" name="cos(rad)" dataDxfId="24">
      <calculatedColumnFormula>COS(Tableau1[[#This Row],[Colonne1]])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3CE8535-3BC3-4903-85B5-C31325C93095}" name="Tableau13" displayName="Tableau13" ref="A1:D38" totalsRowShown="0" headerRowDxfId="23" dataDxfId="22">
  <autoFilter ref="A1:D38" xr:uid="{E3CE8535-3BC3-4903-85B5-C31325C93095}"/>
  <tableColumns count="4">
    <tableColumn id="1" xr3:uid="{1D5DD463-EDD5-4276-BC90-D86AB3BC627F}" name="Angle \ deg " dataDxfId="20"/>
    <tableColumn id="2" xr3:uid="{E45FED03-E02E-4D2E-9163-8A46610DB742}" name="Tension" dataDxfId="19"/>
    <tableColumn id="3" xr3:uid="{2EE5771B-D9B5-474A-9293-D66102E786C6}" name="Colonne1" dataDxfId="18">
      <calculatedColumnFormula>Tableau13[[#This Row],[Angle \ deg ]]*PI()/180</calculatedColumnFormula>
    </tableColumn>
    <tableColumn id="4" xr3:uid="{D1F87D61-230C-4E58-AD96-72EAF2EC1D50}" name="cos(rad)" dataDxfId="21">
      <calculatedColumnFormula>COS(Tableau13[[#This Row],[Colonne1]])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4DA95CF-B35B-428E-8F3D-4ABDC674FF49}" name="Tableau134" displayName="Tableau134" ref="A1:D38" totalsRowShown="0" headerRowDxfId="17" dataDxfId="16">
  <autoFilter ref="A1:D38" xr:uid="{44DA95CF-B35B-428E-8F3D-4ABDC674FF49}"/>
  <tableColumns count="4">
    <tableColumn id="1" xr3:uid="{8DF2C00D-9785-4A1F-8F9C-10CAECD9E092}" name="Angle \ deg " dataDxfId="9"/>
    <tableColumn id="2" xr3:uid="{1FE79176-EA77-4CE2-91C9-EBF3990083AC}" name="Tension" dataDxfId="8"/>
    <tableColumn id="3" xr3:uid="{C911DCC7-0DA7-42F3-AAB7-F0C4C4C3CF6A}" name="Colonne1" dataDxfId="15">
      <calculatedColumnFormula>Tableau134[[#This Row],[Angle \ deg ]]*PI()/180</calculatedColumnFormula>
    </tableColumn>
    <tableColumn id="4" xr3:uid="{353706C9-D513-477E-B133-C80130678E86}" name="cos(rad)" dataDxfId="14">
      <calculatedColumnFormula>COS(Tableau134[[#This Row],[Colonne1]])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72EE110-519E-4520-B0A8-7E5D77419D31}" name="Tableau136" displayName="Tableau136" ref="A1:D38" totalsRowShown="0" headerRowDxfId="13" dataDxfId="12">
  <autoFilter ref="A1:D38" xr:uid="{B72EE110-519E-4520-B0A8-7E5D77419D31}"/>
  <tableColumns count="4">
    <tableColumn id="1" xr3:uid="{6A997A09-D54D-4D91-B2AB-D2E47FAD79A7}" name="Angle \ deg " dataDxfId="3"/>
    <tableColumn id="2" xr3:uid="{F7D2A279-D590-4198-B302-10D7D2333ABF}" name="Tension" dataDxfId="2"/>
    <tableColumn id="3" xr3:uid="{0F5AEE12-E6E6-401E-873B-9DF22D560429}" name="Colonne1" dataDxfId="11">
      <calculatedColumnFormula>Tableau136[[#This Row],[Angle \ deg ]]*PI()/180</calculatedColumnFormula>
    </tableColumn>
    <tableColumn id="4" xr3:uid="{446AA6F8-A48B-44E6-B137-7CB90BA21368}" name="cos(rad)" dataDxfId="10">
      <calculatedColumnFormula>COS(Tableau136[[#This Row],[Colonne1]])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E587E35-28DD-492D-98D2-DD317988D9F9}" name="Tableau1367" displayName="Tableau1367" ref="A1:D39" totalsRowShown="0" headerRowDxfId="7" dataDxfId="6">
  <autoFilter ref="A1:D39" xr:uid="{BE587E35-28DD-492D-98D2-DD317988D9F9}"/>
  <tableColumns count="4">
    <tableColumn id="1" xr3:uid="{9DF0348B-2B02-437B-8773-373BA12D911A}" name="Angle \ deg " dataDxfId="1"/>
    <tableColumn id="2" xr3:uid="{371CEBAF-6332-4268-BE82-6416A860641A}" name="Tension" dataDxfId="0"/>
    <tableColumn id="3" xr3:uid="{27D235AC-790C-43E6-BBC4-369AABFE32EC}" name="Colonne1" dataDxfId="5">
      <calculatedColumnFormula>Tableau1367[[#This Row],[Angle \ deg ]]*PI()/180</calculatedColumnFormula>
    </tableColumn>
    <tableColumn id="4" xr3:uid="{45E957D2-DB63-4A85-A461-B02C74433C87}" name="cos(rad)" dataDxfId="4">
      <calculatedColumnFormula>COS(Tableau1367[[#This Row],[Colonne1]])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5C134-522C-4535-A1A1-9BCDADCB3043}">
  <dimension ref="A1:U86"/>
  <sheetViews>
    <sheetView topLeftCell="E25" zoomScale="85" zoomScaleNormal="85" workbookViewId="0">
      <selection activeCell="R50" sqref="R50"/>
    </sheetView>
  </sheetViews>
  <sheetFormatPr baseColWidth="10" defaultRowHeight="14.25"/>
  <cols>
    <col min="1" max="4" width="16.125" style="6" customWidth="1"/>
    <col min="15" max="15" width="23.875" customWidth="1"/>
    <col min="16" max="16" width="27" customWidth="1"/>
    <col min="18" max="18" width="23.125" customWidth="1"/>
    <col min="19" max="19" width="22.625" customWidth="1"/>
  </cols>
  <sheetData>
    <row r="1" spans="1:19">
      <c r="A1" s="6" t="s">
        <v>10</v>
      </c>
      <c r="B1" s="6" t="s">
        <v>0</v>
      </c>
      <c r="C1" s="6" t="s">
        <v>11</v>
      </c>
      <c r="D1" s="6" t="s">
        <v>14</v>
      </c>
    </row>
    <row r="2" spans="1:19">
      <c r="A2" s="6">
        <v>0</v>
      </c>
      <c r="B2" s="6">
        <v>1.99685</v>
      </c>
      <c r="C2" s="6">
        <f>Tableau1[[#This Row],[Angle \ deg ]]*PI()/180</f>
        <v>0</v>
      </c>
      <c r="D2" s="6">
        <f>COS(Tableau1[[#This Row],[Colonne1]])</f>
        <v>1</v>
      </c>
    </row>
    <row r="3" spans="1:19">
      <c r="A3" s="6">
        <v>10</v>
      </c>
      <c r="B3" s="6">
        <v>1.98682</v>
      </c>
      <c r="C3" s="6">
        <f>Tableau1[[#This Row],[Angle \ deg ]]*PI()/180</f>
        <v>0.17453292519943295</v>
      </c>
      <c r="D3" s="6">
        <f>COS(Tableau1[[#This Row],[Colonne1]])</f>
        <v>0.98480775301220802</v>
      </c>
    </row>
    <row r="4" spans="1:19">
      <c r="A4" s="6">
        <v>20</v>
      </c>
      <c r="B4" s="6">
        <v>1.9598199999999999</v>
      </c>
      <c r="C4" s="6">
        <f>Tableau1[[#This Row],[Angle \ deg ]]*PI()/180</f>
        <v>0.3490658503988659</v>
      </c>
      <c r="D4" s="6">
        <f>COS(Tableau1[[#This Row],[Colonne1]])</f>
        <v>0.93969262078590843</v>
      </c>
    </row>
    <row r="5" spans="1:19">
      <c r="A5" s="6">
        <v>30</v>
      </c>
      <c r="B5" s="6">
        <v>1.91998</v>
      </c>
      <c r="C5" s="6">
        <f>Tableau1[[#This Row],[Angle \ deg ]]*PI()/180</f>
        <v>0.52359877559829882</v>
      </c>
      <c r="D5" s="6">
        <f>COS(Tableau1[[#This Row],[Colonne1]])</f>
        <v>0.86602540378443871</v>
      </c>
    </row>
    <row r="6" spans="1:19">
      <c r="A6" s="6">
        <v>40</v>
      </c>
      <c r="B6" s="6">
        <v>1.8696699999999999</v>
      </c>
      <c r="C6" s="6">
        <f>Tableau1[[#This Row],[Angle \ deg ]]*PI()/180</f>
        <v>0.69813170079773179</v>
      </c>
      <c r="D6" s="6">
        <f>COS(Tableau1[[#This Row],[Colonne1]])</f>
        <v>0.76604444311897801</v>
      </c>
    </row>
    <row r="7" spans="1:19">
      <c r="A7" s="6">
        <v>50</v>
      </c>
      <c r="B7" s="6">
        <v>1.8041799999999999</v>
      </c>
      <c r="C7" s="6">
        <f>Tableau1[[#This Row],[Angle \ deg ]]*PI()/180</f>
        <v>0.87266462599716477</v>
      </c>
      <c r="D7" s="6">
        <f>COS(Tableau1[[#This Row],[Colonne1]])</f>
        <v>0.64278760968653936</v>
      </c>
      <c r="O7" s="1">
        <v>40</v>
      </c>
      <c r="P7" s="2">
        <v>1.8696699999999999</v>
      </c>
    </row>
    <row r="8" spans="1:19">
      <c r="A8" s="6">
        <v>60</v>
      </c>
      <c r="B8" s="6">
        <v>1.7327999999999999</v>
      </c>
      <c r="C8" s="6">
        <f>Tableau1[[#This Row],[Angle \ deg ]]*PI()/180</f>
        <v>1.0471975511965976</v>
      </c>
      <c r="D8" s="6">
        <f>COS(Tableau1[[#This Row],[Colonne1]])</f>
        <v>0.50000000000000011</v>
      </c>
      <c r="O8" s="3">
        <v>50</v>
      </c>
      <c r="P8" s="4">
        <v>1.8041799999999999</v>
      </c>
    </row>
    <row r="9" spans="1:19">
      <c r="A9" s="6">
        <v>70</v>
      </c>
      <c r="B9" s="6">
        <v>1.6488</v>
      </c>
      <c r="C9" s="6">
        <f>Tableau1[[#This Row],[Angle \ deg ]]*PI()/180</f>
        <v>1.2217304763960306</v>
      </c>
      <c r="D9" s="6">
        <f>COS(Tableau1[[#This Row],[Colonne1]])</f>
        <v>0.34202014332566882</v>
      </c>
      <c r="O9" s="1">
        <v>60</v>
      </c>
      <c r="P9" s="2">
        <v>1.7327999999999999</v>
      </c>
      <c r="R9" s="5" t="s">
        <v>1</v>
      </c>
      <c r="S9" s="5" t="s">
        <v>2</v>
      </c>
    </row>
    <row r="10" spans="1:19">
      <c r="A10" s="6">
        <v>80</v>
      </c>
      <c r="B10" s="6">
        <v>1.5654300000000001</v>
      </c>
      <c r="C10" s="6">
        <f>Tableau1[[#This Row],[Angle \ deg ]]*PI()/180</f>
        <v>1.3962634015954636</v>
      </c>
      <c r="D10" s="6">
        <f>COS(Tableau1[[#This Row],[Colonne1]])</f>
        <v>0.17364817766693041</v>
      </c>
      <c r="O10" s="3">
        <v>70</v>
      </c>
      <c r="P10" s="4">
        <v>1.6488</v>
      </c>
      <c r="R10" s="6">
        <f t="array" ref="R10:S11">LINEST(P7:P17,O7:O17,1,1)</f>
        <v>-7.9187818181818172E-3</v>
      </c>
      <c r="S10" s="6">
        <v>2.195357636363636</v>
      </c>
    </row>
    <row r="11" spans="1:19">
      <c r="A11" s="6">
        <v>90</v>
      </c>
      <c r="B11" s="6">
        <v>1.4789099999999999</v>
      </c>
      <c r="C11" s="6">
        <f>Tableau1[[#This Row],[Angle \ deg ]]*PI()/180</f>
        <v>1.5707963267948966</v>
      </c>
      <c r="D11" s="6">
        <f>COS(Tableau1[[#This Row],[Colonne1]])</f>
        <v>6.1257422745431001E-17</v>
      </c>
      <c r="O11" s="1">
        <v>80</v>
      </c>
      <c r="P11" s="2">
        <v>1.5654300000000001</v>
      </c>
      <c r="R11" s="6">
        <v>1.0813998104521357E-4</v>
      </c>
      <c r="S11" s="6">
        <v>1.0315896715951468E-2</v>
      </c>
    </row>
    <row r="12" spans="1:19">
      <c r="A12" s="6">
        <v>100</v>
      </c>
      <c r="B12" s="6">
        <v>1.3902699999999999</v>
      </c>
      <c r="C12" s="6">
        <f>Tableau1[[#This Row],[Angle \ deg ]]*PI()/180</f>
        <v>1.7453292519943295</v>
      </c>
      <c r="D12" s="6">
        <f>COS(Tableau1[[#This Row],[Colonne1]])</f>
        <v>-0.1736481776669303</v>
      </c>
      <c r="O12" s="3">
        <v>90</v>
      </c>
      <c r="P12" s="4">
        <v>1.4789099999999999</v>
      </c>
      <c r="R12" s="5" t="s">
        <v>3</v>
      </c>
      <c r="S12" s="5" t="s">
        <v>4</v>
      </c>
    </row>
    <row r="13" spans="1:19">
      <c r="A13" s="6">
        <v>110</v>
      </c>
      <c r="B13" s="6">
        <v>1.3108599999999999</v>
      </c>
      <c r="C13" s="6">
        <f>Tableau1[[#This Row],[Angle \ deg ]]*PI()/180</f>
        <v>1.9198621771937625</v>
      </c>
      <c r="D13" s="6">
        <f>COS(Tableau1[[#This Row],[Colonne1]])</f>
        <v>-0.34202014332566871</v>
      </c>
      <c r="O13" s="1">
        <v>100</v>
      </c>
      <c r="P13" s="2">
        <v>1.3902699999999999</v>
      </c>
    </row>
    <row r="14" spans="1:19">
      <c r="A14" s="6">
        <v>120</v>
      </c>
      <c r="B14" s="6">
        <v>1.23567</v>
      </c>
      <c r="C14" s="6">
        <f>Tableau1[[#This Row],[Angle \ deg ]]*PI()/180</f>
        <v>2.0943951023931953</v>
      </c>
      <c r="D14" s="6">
        <f>COS(Tableau1[[#This Row],[Colonne1]])</f>
        <v>-0.49999999999999978</v>
      </c>
      <c r="O14" s="3">
        <v>110</v>
      </c>
      <c r="P14" s="4">
        <v>1.3108599999999999</v>
      </c>
    </row>
    <row r="15" spans="1:19">
      <c r="A15" s="6">
        <v>130</v>
      </c>
      <c r="B15" s="6">
        <v>1.1669099999999999</v>
      </c>
      <c r="C15" s="6">
        <f>Tableau1[[#This Row],[Angle \ deg ]]*PI()/180</f>
        <v>2.2689280275926285</v>
      </c>
      <c r="D15" s="6">
        <f>COS(Tableau1[[#This Row],[Colonne1]])</f>
        <v>-0.64278760968653936</v>
      </c>
      <c r="O15" s="1">
        <v>120</v>
      </c>
      <c r="P15" s="2">
        <v>1.23567</v>
      </c>
    </row>
    <row r="16" spans="1:19">
      <c r="A16" s="6">
        <v>140</v>
      </c>
      <c r="B16" s="6">
        <v>1.1058399999999999</v>
      </c>
      <c r="C16" s="6">
        <f>Tableau1[[#This Row],[Angle \ deg ]]*PI()/180</f>
        <v>2.4434609527920612</v>
      </c>
      <c r="D16" s="6">
        <f>COS(Tableau1[[#This Row],[Colonne1]])</f>
        <v>-0.7660444431189779</v>
      </c>
      <c r="O16" s="3">
        <v>130</v>
      </c>
      <c r="P16" s="4">
        <v>1.1669099999999999</v>
      </c>
    </row>
    <row r="17" spans="1:21">
      <c r="A17" s="6">
        <v>150</v>
      </c>
      <c r="B17" s="6">
        <v>1.05881</v>
      </c>
      <c r="C17" s="6">
        <f>Tableau1[[#This Row],[Angle \ deg ]]*PI()/180</f>
        <v>2.6179938779914944</v>
      </c>
      <c r="D17" s="6">
        <f>COS(Tableau1[[#This Row],[Colonne1]])</f>
        <v>-0.86602540378443871</v>
      </c>
      <c r="O17" s="1">
        <v>140</v>
      </c>
      <c r="P17" s="2">
        <v>1.1058399999999999</v>
      </c>
    </row>
    <row r="18" spans="1:21">
      <c r="A18" s="6">
        <v>160</v>
      </c>
      <c r="B18" s="6">
        <v>1.0221100000000001</v>
      </c>
      <c r="C18" s="6">
        <f>Tableau1[[#This Row],[Angle \ deg ]]*PI()/180</f>
        <v>2.7925268031909272</v>
      </c>
      <c r="D18" s="6">
        <f>COS(Tableau1[[#This Row],[Colonne1]])</f>
        <v>-0.93969262078590832</v>
      </c>
    </row>
    <row r="19" spans="1:21">
      <c r="A19" s="6">
        <v>170</v>
      </c>
      <c r="B19" s="6">
        <v>1.0046299999999999</v>
      </c>
      <c r="C19" s="6">
        <f>Tableau1[[#This Row],[Angle \ deg ]]*PI()/180</f>
        <v>2.9670597283903604</v>
      </c>
      <c r="D19" s="6">
        <f>COS(Tableau1[[#This Row],[Colonne1]])</f>
        <v>-0.98480775301220802</v>
      </c>
    </row>
    <row r="20" spans="1:21">
      <c r="A20" s="6">
        <v>180</v>
      </c>
      <c r="B20" s="6">
        <v>1.00057</v>
      </c>
      <c r="C20" s="6">
        <f>Tableau1[[#This Row],[Angle \ deg ]]*PI()/180</f>
        <v>3.1415926535897931</v>
      </c>
      <c r="D20" s="6">
        <f>COS(Tableau1[[#This Row],[Colonne1]])</f>
        <v>-1</v>
      </c>
    </row>
    <row r="21" spans="1:21">
      <c r="A21" s="6">
        <v>190</v>
      </c>
      <c r="B21" s="6">
        <v>1.01285</v>
      </c>
      <c r="C21" s="6">
        <f>Tableau1[[#This Row],[Angle \ deg ]]*PI()/180</f>
        <v>3.3161255787892263</v>
      </c>
      <c r="D21" s="6">
        <f>COS(Tableau1[[#This Row],[Colonne1]])</f>
        <v>-0.98480775301220802</v>
      </c>
    </row>
    <row r="22" spans="1:21">
      <c r="A22" s="6">
        <v>200</v>
      </c>
      <c r="B22" s="6">
        <v>1.0401899999999999</v>
      </c>
      <c r="C22" s="6">
        <f>Tableau1[[#This Row],[Angle \ deg ]]*PI()/180</f>
        <v>3.4906585039886591</v>
      </c>
      <c r="D22" s="6">
        <f>COS(Tableau1[[#This Row],[Colonne1]])</f>
        <v>-0.93969262078590843</v>
      </c>
    </row>
    <row r="23" spans="1:21">
      <c r="A23" s="6">
        <v>210</v>
      </c>
      <c r="B23" s="6">
        <v>1.0759700000000001</v>
      </c>
      <c r="C23" s="6">
        <f>Tableau1[[#This Row],[Angle \ deg ]]*PI()/180</f>
        <v>3.6651914291880923</v>
      </c>
      <c r="D23" s="6">
        <f>COS(Tableau1[[#This Row],[Colonne1]])</f>
        <v>-0.8660254037844386</v>
      </c>
      <c r="R23" s="5" t="s">
        <v>7</v>
      </c>
    </row>
    <row r="24" spans="1:21">
      <c r="A24" s="6">
        <v>220</v>
      </c>
      <c r="B24" s="6">
        <v>1.1341600000000001</v>
      </c>
      <c r="C24" s="6">
        <f>Tableau1[[#This Row],[Angle \ deg ]]*PI()/180</f>
        <v>3.839724354387525</v>
      </c>
      <c r="D24" s="6">
        <f>COS(Tableau1[[#This Row],[Colonne1]])</f>
        <v>-0.76604444311897801</v>
      </c>
      <c r="O24" t="s">
        <v>5</v>
      </c>
      <c r="R24" s="6">
        <f>MAX(U25:U35)</f>
        <v>1.6440000000000232E-2</v>
      </c>
      <c r="U24" t="s">
        <v>6</v>
      </c>
    </row>
    <row r="25" spans="1:21">
      <c r="A25" s="6">
        <v>230</v>
      </c>
      <c r="B25" s="6">
        <v>1.20329</v>
      </c>
      <c r="C25" s="6">
        <f>Tableau1[[#This Row],[Angle \ deg ]]*PI()/180</f>
        <v>4.0142572795869578</v>
      </c>
      <c r="D25" s="6">
        <f>COS(Tableau1[[#This Row],[Colonne1]])</f>
        <v>-0.64278760968653947</v>
      </c>
      <c r="O25" s="1">
        <v>40</v>
      </c>
      <c r="P25" s="2">
        <f>-0.0079*O25+2.1954</f>
        <v>1.8793999999999997</v>
      </c>
      <c r="R25" s="5" t="s">
        <v>8</v>
      </c>
      <c r="T25" s="1">
        <v>40</v>
      </c>
      <c r="U25">
        <f t="shared" ref="U25:U35" si="0">ABS(P7-P25)</f>
        <v>9.7299999999997944E-3</v>
      </c>
    </row>
    <row r="26" spans="1:21">
      <c r="A26" s="6">
        <v>240</v>
      </c>
      <c r="B26" s="6">
        <v>1.2741800000000001</v>
      </c>
      <c r="C26" s="6">
        <f>Tableau1[[#This Row],[Angle \ deg ]]*PI()/180</f>
        <v>4.1887902047863905</v>
      </c>
      <c r="D26" s="6">
        <f>COS(Tableau1[[#This Row],[Colonne1]])</f>
        <v>-0.50000000000000044</v>
      </c>
      <c r="O26" s="3">
        <v>50</v>
      </c>
      <c r="P26" s="2">
        <f t="shared" ref="P26:P35" si="1">-0.0079*O26+2.1954</f>
        <v>1.8003999999999998</v>
      </c>
      <c r="R26" s="6">
        <f>P7-P17</f>
        <v>0.76383000000000001</v>
      </c>
      <c r="T26" s="3">
        <v>50</v>
      </c>
      <c r="U26">
        <f t="shared" si="0"/>
        <v>3.7800000000001166E-3</v>
      </c>
    </row>
    <row r="27" spans="1:21">
      <c r="A27" s="6">
        <v>250</v>
      </c>
      <c r="B27" s="6">
        <v>1.35321</v>
      </c>
      <c r="C27" s="6">
        <f>Tableau1[[#This Row],[Angle \ deg ]]*PI()/180</f>
        <v>4.3633231299858233</v>
      </c>
      <c r="D27" s="6">
        <f>COS(Tableau1[[#This Row],[Colonne1]])</f>
        <v>-0.34202014332566938</v>
      </c>
      <c r="O27" s="1">
        <v>60</v>
      </c>
      <c r="P27" s="2">
        <f t="shared" si="1"/>
        <v>1.7213999999999998</v>
      </c>
      <c r="R27" s="6"/>
      <c r="T27" s="1">
        <v>60</v>
      </c>
      <c r="U27">
        <f t="shared" si="0"/>
        <v>1.1400000000000077E-2</v>
      </c>
    </row>
    <row r="28" spans="1:21">
      <c r="A28" s="6">
        <v>260</v>
      </c>
      <c r="B28" s="6">
        <v>1.4330700000000001</v>
      </c>
      <c r="C28" s="6">
        <f>Tableau1[[#This Row],[Angle \ deg ]]*PI()/180</f>
        <v>4.5378560551852569</v>
      </c>
      <c r="D28" s="6">
        <f>COS(Tableau1[[#This Row],[Colonne1]])</f>
        <v>-0.17364817766693033</v>
      </c>
      <c r="O28" s="3">
        <v>70</v>
      </c>
      <c r="P28" s="2">
        <f t="shared" si="1"/>
        <v>1.6423999999999999</v>
      </c>
      <c r="R28" s="5" t="s">
        <v>9</v>
      </c>
      <c r="T28" s="3">
        <v>70</v>
      </c>
      <c r="U28">
        <f t="shared" si="0"/>
        <v>6.4000000000001833E-3</v>
      </c>
    </row>
    <row r="29" spans="1:21">
      <c r="A29" s="6">
        <v>270</v>
      </c>
      <c r="B29" s="6">
        <v>1.5217799999999999</v>
      </c>
      <c r="C29" s="6">
        <f>Tableau1[[#This Row],[Angle \ deg ]]*PI()/180</f>
        <v>4.7123889803846897</v>
      </c>
      <c r="D29" s="6">
        <f>COS(Tableau1[[#This Row],[Colonne1]])</f>
        <v>-1.83772268236293E-16</v>
      </c>
      <c r="O29" s="1">
        <v>80</v>
      </c>
      <c r="P29" s="2">
        <f t="shared" si="1"/>
        <v>1.5633999999999997</v>
      </c>
      <c r="R29" s="6">
        <f>(R24/R26)*100</f>
        <v>2.1523113781862757</v>
      </c>
      <c r="T29" s="1">
        <v>80</v>
      </c>
      <c r="U29">
        <f t="shared" si="0"/>
        <v>2.0300000000004204E-3</v>
      </c>
    </row>
    <row r="30" spans="1:21">
      <c r="A30" s="6">
        <v>280</v>
      </c>
      <c r="B30" s="6">
        <v>1.6082700000000001</v>
      </c>
      <c r="C30" s="6">
        <f>Tableau1[[#This Row],[Angle \ deg ]]*PI()/180</f>
        <v>4.8869219055841224</v>
      </c>
      <c r="D30" s="6">
        <f>COS(Tableau1[[#This Row],[Colonne1]])</f>
        <v>0.17364817766692997</v>
      </c>
      <c r="O30" s="3">
        <v>90</v>
      </c>
      <c r="P30" s="2">
        <f t="shared" si="1"/>
        <v>1.4843999999999997</v>
      </c>
      <c r="T30" s="3">
        <v>90</v>
      </c>
      <c r="U30">
        <f t="shared" si="0"/>
        <v>5.4899999999997728E-3</v>
      </c>
    </row>
    <row r="31" spans="1:21">
      <c r="A31" s="6">
        <v>290</v>
      </c>
      <c r="B31" s="6">
        <v>1.6919500000000001</v>
      </c>
      <c r="C31" s="6">
        <f>Tableau1[[#This Row],[Angle \ deg ]]*PI()/180</f>
        <v>5.0614548307835552</v>
      </c>
      <c r="D31" s="6">
        <f>COS(Tableau1[[#This Row],[Colonne1]])</f>
        <v>0.34202014332566816</v>
      </c>
      <c r="O31" s="1">
        <v>100</v>
      </c>
      <c r="P31" s="2">
        <f t="shared" si="1"/>
        <v>1.4053999999999998</v>
      </c>
      <c r="T31" s="1">
        <v>100</v>
      </c>
      <c r="U31">
        <f t="shared" si="0"/>
        <v>1.5129999999999866E-2</v>
      </c>
    </row>
    <row r="32" spans="1:21">
      <c r="A32" s="6">
        <v>300</v>
      </c>
      <c r="B32" s="6">
        <v>1.7687900000000001</v>
      </c>
      <c r="C32" s="6">
        <f>Tableau1[[#This Row],[Angle \ deg ]]*PI()/180</f>
        <v>5.2359877559829888</v>
      </c>
      <c r="D32" s="6">
        <f>COS(Tableau1[[#This Row],[Colonne1]])</f>
        <v>0.50000000000000011</v>
      </c>
      <c r="O32" s="3">
        <v>110</v>
      </c>
      <c r="P32" s="2">
        <f t="shared" si="1"/>
        <v>1.3263999999999996</v>
      </c>
      <c r="T32" s="3">
        <v>110</v>
      </c>
      <c r="U32">
        <f t="shared" si="0"/>
        <v>1.5539999999999665E-2</v>
      </c>
    </row>
    <row r="33" spans="1:21">
      <c r="A33" s="6">
        <v>310</v>
      </c>
      <c r="B33" s="6">
        <v>1.83725</v>
      </c>
      <c r="C33" s="6">
        <f>Tableau1[[#This Row],[Angle \ deg ]]*PI()/180</f>
        <v>5.4105206811824216</v>
      </c>
      <c r="D33" s="6">
        <f>COS(Tableau1[[#This Row],[Colonne1]])</f>
        <v>0.64278760968653925</v>
      </c>
      <c r="O33" s="1">
        <v>120</v>
      </c>
      <c r="P33" s="2">
        <f t="shared" si="1"/>
        <v>1.2473999999999998</v>
      </c>
      <c r="T33" s="1">
        <v>120</v>
      </c>
      <c r="U33">
        <f t="shared" si="0"/>
        <v>1.1729999999999796E-2</v>
      </c>
    </row>
    <row r="34" spans="1:21">
      <c r="A34" s="6">
        <v>320</v>
      </c>
      <c r="B34" s="6">
        <v>1.8992599999999999</v>
      </c>
      <c r="C34" s="6">
        <f>Tableau1[[#This Row],[Angle \ deg ]]*PI()/180</f>
        <v>5.5850536063818543</v>
      </c>
      <c r="D34" s="6">
        <f>COS(Tableau1[[#This Row],[Colonne1]])</f>
        <v>0.76604444311897779</v>
      </c>
      <c r="O34" s="3">
        <v>130</v>
      </c>
      <c r="P34" s="2">
        <f t="shared" si="1"/>
        <v>1.1683999999999997</v>
      </c>
      <c r="T34" s="3">
        <v>130</v>
      </c>
      <c r="U34">
        <f t="shared" si="0"/>
        <v>1.4899999999997693E-3</v>
      </c>
    </row>
    <row r="35" spans="1:21">
      <c r="A35" s="6">
        <v>330</v>
      </c>
      <c r="B35" s="6">
        <v>1.94594</v>
      </c>
      <c r="C35" s="6">
        <f>Tableau1[[#This Row],[Angle \ deg ]]*PI()/180</f>
        <v>5.7595865315812871</v>
      </c>
      <c r="D35" s="6">
        <f>COS(Tableau1[[#This Row],[Colonne1]])</f>
        <v>0.86602540378443837</v>
      </c>
      <c r="O35" s="1">
        <v>140</v>
      </c>
      <c r="P35" s="2">
        <f t="shared" si="1"/>
        <v>1.0893999999999997</v>
      </c>
      <c r="T35" s="1">
        <v>140</v>
      </c>
      <c r="U35">
        <f t="shared" si="0"/>
        <v>1.6440000000000232E-2</v>
      </c>
    </row>
    <row r="36" spans="1:21">
      <c r="A36" s="6">
        <v>340</v>
      </c>
      <c r="B36" s="6">
        <v>1.9740500000000001</v>
      </c>
      <c r="C36" s="6">
        <f>Tableau1[[#This Row],[Angle \ deg ]]*PI()/180</f>
        <v>5.9341194567807207</v>
      </c>
      <c r="D36" s="6">
        <f>COS(Tableau1[[#This Row],[Colonne1]])</f>
        <v>0.93969262078590843</v>
      </c>
    </row>
    <row r="37" spans="1:21">
      <c r="A37" s="6">
        <v>350</v>
      </c>
      <c r="B37" s="6">
        <v>1.9939899999999999</v>
      </c>
      <c r="C37" s="6">
        <f>Tableau1[[#This Row],[Angle \ deg ]]*PI()/180</f>
        <v>6.1086523819801526</v>
      </c>
      <c r="D37" s="6">
        <f>COS(Tableau1[[#This Row],[Colonne1]])</f>
        <v>0.98480775301220791</v>
      </c>
    </row>
    <row r="38" spans="1:21">
      <c r="A38" s="6">
        <v>360</v>
      </c>
      <c r="B38" s="6">
        <v>1.9981199999999999</v>
      </c>
      <c r="C38" s="6">
        <f>Tableau1[[#This Row],[Angle \ deg ]]*PI()/180</f>
        <v>6.2831853071795862</v>
      </c>
      <c r="D38" s="6">
        <f>COS(Tableau1[[#This Row],[Colonne1]])</f>
        <v>1</v>
      </c>
    </row>
    <row r="39" spans="1:21">
      <c r="O39" t="s">
        <v>13</v>
      </c>
      <c r="P39" t="s">
        <v>12</v>
      </c>
    </row>
    <row r="40" spans="1:21">
      <c r="O40">
        <f t="array" ref="O40:P41">LINEST(B2:B38,D2:D38,1,1)</f>
        <v>0.49797810804973874</v>
      </c>
      <c r="P40">
        <v>1.5007370781608178</v>
      </c>
    </row>
    <row r="41" spans="1:21">
      <c r="O41">
        <v>3.6723491357083591E-3</v>
      </c>
      <c r="P41">
        <v>2.6316001468442785E-3</v>
      </c>
    </row>
    <row r="42" spans="1:21">
      <c r="O42" t="s">
        <v>15</v>
      </c>
      <c r="P42" t="s">
        <v>16</v>
      </c>
      <c r="R42" t="s">
        <v>17</v>
      </c>
    </row>
    <row r="43" spans="1:21">
      <c r="R43">
        <f>R40/2</f>
        <v>0</v>
      </c>
    </row>
    <row r="49" spans="15:18">
      <c r="O49" t="s">
        <v>19</v>
      </c>
      <c r="P49" t="s">
        <v>18</v>
      </c>
      <c r="Q49" t="s">
        <v>20</v>
      </c>
      <c r="R49" t="s">
        <v>21</v>
      </c>
    </row>
    <row r="50" spans="15:18">
      <c r="O50" s="7">
        <v>1.99685</v>
      </c>
      <c r="P50" s="9">
        <f xml:space="preserve"> $O$40*D2+ $P$40</f>
        <v>1.9987151862105565</v>
      </c>
      <c r="Q50">
        <f>ABS(O50-P50)</f>
        <v>1.8651862105565353E-3</v>
      </c>
      <c r="R50">
        <f>MAX(Q50:Q86)</f>
        <v>2.3994087179955104E-2</v>
      </c>
    </row>
    <row r="51" spans="15:18">
      <c r="O51" s="8">
        <v>1.98682</v>
      </c>
      <c r="P51" s="9">
        <f t="shared" ref="P51:P86" si="2" xml:space="preserve"> $O$40*D3+ $P$40</f>
        <v>1.9911497797985516</v>
      </c>
      <c r="Q51">
        <f t="shared" ref="Q51:Q86" si="3">ABS(O51-P51)</f>
        <v>4.3297797985515363E-3</v>
      </c>
    </row>
    <row r="52" spans="15:18">
      <c r="O52" s="7">
        <v>1.9598199999999999</v>
      </c>
      <c r="P52" s="9">
        <f t="shared" si="2"/>
        <v>1.968683431608085</v>
      </c>
      <c r="Q52">
        <f t="shared" si="3"/>
        <v>8.863431608085115E-3</v>
      </c>
    </row>
    <row r="53" spans="15:18">
      <c r="O53" s="8">
        <v>1.91998</v>
      </c>
      <c r="P53" s="9">
        <f t="shared" si="2"/>
        <v>1.9319987702604036</v>
      </c>
      <c r="Q53">
        <f t="shared" si="3"/>
        <v>1.2018770260403544E-2</v>
      </c>
    </row>
    <row r="54" spans="15:18">
      <c r="O54" s="7">
        <v>1.8696699999999999</v>
      </c>
      <c r="P54" s="9">
        <f t="shared" si="2"/>
        <v>1.8822104406272222</v>
      </c>
      <c r="Q54">
        <f t="shared" si="3"/>
        <v>1.254044062722226E-2</v>
      </c>
    </row>
    <row r="55" spans="15:18">
      <c r="O55" s="8">
        <v>1.8041799999999999</v>
      </c>
      <c r="P55" s="9">
        <f t="shared" si="2"/>
        <v>1.8208312359103345</v>
      </c>
      <c r="Q55">
        <f t="shared" si="3"/>
        <v>1.6651235910334572E-2</v>
      </c>
    </row>
    <row r="56" spans="15:18">
      <c r="O56" s="7">
        <v>1.7327999999999999</v>
      </c>
      <c r="P56" s="9">
        <f t="shared" si="2"/>
        <v>1.7497261321856872</v>
      </c>
      <c r="Q56">
        <f t="shared" si="3"/>
        <v>1.6926132185687282E-2</v>
      </c>
    </row>
    <row r="57" spans="15:18">
      <c r="O57" s="8">
        <v>1.6488</v>
      </c>
      <c r="P57" s="9">
        <f t="shared" si="2"/>
        <v>1.6710556220490349</v>
      </c>
      <c r="Q57">
        <f t="shared" si="3"/>
        <v>2.2255622049034862E-2</v>
      </c>
    </row>
    <row r="58" spans="15:18">
      <c r="O58" s="7">
        <v>1.5654300000000001</v>
      </c>
      <c r="P58" s="9">
        <f t="shared" si="2"/>
        <v>1.5872100691416806</v>
      </c>
      <c r="Q58">
        <f t="shared" si="3"/>
        <v>2.1780069141680514E-2</v>
      </c>
    </row>
    <row r="59" spans="15:18">
      <c r="O59" s="8">
        <v>1.4789099999999999</v>
      </c>
      <c r="P59" s="9">
        <f t="shared" si="2"/>
        <v>1.5007370781608178</v>
      </c>
      <c r="Q59">
        <f t="shared" si="3"/>
        <v>2.1827078160817859E-2</v>
      </c>
    </row>
    <row r="60" spans="15:18">
      <c r="O60" s="7">
        <v>1.3902699999999999</v>
      </c>
      <c r="P60" s="9">
        <f t="shared" si="2"/>
        <v>1.414264087179955</v>
      </c>
      <c r="Q60">
        <f t="shared" si="3"/>
        <v>2.3994087179955104E-2</v>
      </c>
    </row>
    <row r="61" spans="15:18">
      <c r="O61" s="8">
        <v>1.3108599999999999</v>
      </c>
      <c r="P61" s="9">
        <f t="shared" si="2"/>
        <v>1.3304185342726007</v>
      </c>
      <c r="Q61">
        <f t="shared" si="3"/>
        <v>1.9558534272600792E-2</v>
      </c>
    </row>
    <row r="62" spans="15:18">
      <c r="O62" s="7">
        <v>1.23567</v>
      </c>
      <c r="P62" s="9">
        <f t="shared" si="2"/>
        <v>1.2517480241359484</v>
      </c>
      <c r="Q62">
        <f t="shared" si="3"/>
        <v>1.6078024135948388E-2</v>
      </c>
    </row>
    <row r="63" spans="15:18">
      <c r="O63" s="8">
        <v>1.1669099999999999</v>
      </c>
      <c r="P63" s="9">
        <f t="shared" si="2"/>
        <v>1.1806429204113011</v>
      </c>
      <c r="Q63">
        <f t="shared" si="3"/>
        <v>1.3732920411301253E-2</v>
      </c>
    </row>
    <row r="64" spans="15:18">
      <c r="O64" s="7">
        <v>1.1058399999999999</v>
      </c>
      <c r="P64" s="9">
        <f t="shared" si="2"/>
        <v>1.1192637156944134</v>
      </c>
      <c r="Q64">
        <f t="shared" si="3"/>
        <v>1.3423715694413474E-2</v>
      </c>
    </row>
    <row r="65" spans="15:17">
      <c r="O65" s="8">
        <v>1.05881</v>
      </c>
      <c r="P65" s="9">
        <f t="shared" si="2"/>
        <v>1.069475386061232</v>
      </c>
      <c r="Q65">
        <f t="shared" si="3"/>
        <v>1.0665386061232018E-2</v>
      </c>
    </row>
    <row r="66" spans="15:17">
      <c r="O66" s="7">
        <v>1.0221100000000001</v>
      </c>
      <c r="P66" s="9">
        <f t="shared" si="2"/>
        <v>1.0327907247135506</v>
      </c>
      <c r="Q66">
        <f t="shared" si="3"/>
        <v>1.0680724713550527E-2</v>
      </c>
    </row>
    <row r="67" spans="15:17">
      <c r="O67" s="8">
        <v>1.0046299999999999</v>
      </c>
      <c r="P67" s="9">
        <f t="shared" si="2"/>
        <v>1.010324376523084</v>
      </c>
      <c r="Q67">
        <f t="shared" si="3"/>
        <v>5.6943765230841326E-3</v>
      </c>
    </row>
    <row r="68" spans="15:17">
      <c r="O68" s="7">
        <v>1.00057</v>
      </c>
      <c r="P68" s="9">
        <f t="shared" si="2"/>
        <v>1.0027589701110791</v>
      </c>
      <c r="Q68">
        <f t="shared" si="3"/>
        <v>2.1889701110791027E-3</v>
      </c>
    </row>
    <row r="69" spans="15:17">
      <c r="O69" s="8">
        <v>1.01285</v>
      </c>
      <c r="P69" s="9">
        <f t="shared" si="2"/>
        <v>1.010324376523084</v>
      </c>
      <c r="Q69">
        <f t="shared" si="3"/>
        <v>2.5256234769159835E-3</v>
      </c>
    </row>
    <row r="70" spans="15:17">
      <c r="O70" s="7">
        <v>1.0401899999999999</v>
      </c>
      <c r="P70" s="9">
        <f t="shared" si="2"/>
        <v>1.0327907247135506</v>
      </c>
      <c r="Q70">
        <f t="shared" si="3"/>
        <v>7.3992752864493472E-3</v>
      </c>
    </row>
    <row r="71" spans="15:17">
      <c r="O71" s="8">
        <v>1.0759700000000001</v>
      </c>
      <c r="P71" s="9">
        <f t="shared" si="2"/>
        <v>1.069475386061232</v>
      </c>
      <c r="Q71">
        <f t="shared" si="3"/>
        <v>6.4946139387680457E-3</v>
      </c>
    </row>
    <row r="72" spans="15:17">
      <c r="O72" s="7">
        <v>1.1341600000000001</v>
      </c>
      <c r="P72" s="9">
        <f t="shared" si="2"/>
        <v>1.1192637156944134</v>
      </c>
      <c r="Q72">
        <f t="shared" si="3"/>
        <v>1.4896284305586649E-2</v>
      </c>
    </row>
    <row r="73" spans="15:17">
      <c r="O73" s="8">
        <v>1.20329</v>
      </c>
      <c r="P73" s="9">
        <f t="shared" si="2"/>
        <v>1.1806429204113009</v>
      </c>
      <c r="Q73">
        <f t="shared" si="3"/>
        <v>2.2647079588699048E-2</v>
      </c>
    </row>
    <row r="74" spans="15:17">
      <c r="O74" s="7">
        <v>1.2741800000000001</v>
      </c>
      <c r="P74" s="9">
        <f t="shared" si="2"/>
        <v>1.2517480241359482</v>
      </c>
      <c r="Q74">
        <f t="shared" si="3"/>
        <v>2.2431975864051878E-2</v>
      </c>
    </row>
    <row r="75" spans="15:17">
      <c r="O75" s="8">
        <v>1.35321</v>
      </c>
      <c r="P75" s="9">
        <f t="shared" si="2"/>
        <v>1.3304185342726005</v>
      </c>
      <c r="Q75">
        <f t="shared" si="3"/>
        <v>2.279146572739954E-2</v>
      </c>
    </row>
    <row r="76" spans="15:17">
      <c r="O76" s="7">
        <v>1.4330700000000001</v>
      </c>
      <c r="P76" s="9">
        <f t="shared" si="2"/>
        <v>1.414264087179955</v>
      </c>
      <c r="Q76">
        <f t="shared" si="3"/>
        <v>1.8805912820045068E-2</v>
      </c>
    </row>
    <row r="77" spans="15:17">
      <c r="O77" s="8">
        <v>1.5217799999999999</v>
      </c>
      <c r="P77" s="9">
        <f t="shared" si="2"/>
        <v>1.5007370781608178</v>
      </c>
      <c r="Q77">
        <f t="shared" si="3"/>
        <v>2.1042921839182105E-2</v>
      </c>
    </row>
    <row r="78" spans="15:17">
      <c r="O78" s="7">
        <v>1.6082700000000001</v>
      </c>
      <c r="P78" s="9">
        <f t="shared" si="2"/>
        <v>1.5872100691416804</v>
      </c>
      <c r="Q78">
        <f t="shared" si="3"/>
        <v>2.1059930858319698E-2</v>
      </c>
    </row>
    <row r="79" spans="15:17">
      <c r="O79" s="8">
        <v>1.6919500000000001</v>
      </c>
      <c r="P79" s="9">
        <f t="shared" si="2"/>
        <v>1.6710556220490345</v>
      </c>
      <c r="Q79">
        <f t="shared" si="3"/>
        <v>2.0894377950965604E-2</v>
      </c>
    </row>
    <row r="80" spans="15:17">
      <c r="O80" s="7">
        <v>1.7687900000000001</v>
      </c>
      <c r="P80" s="9">
        <f t="shared" si="2"/>
        <v>1.7497261321856872</v>
      </c>
      <c r="Q80">
        <f t="shared" si="3"/>
        <v>1.9063867814312907E-2</v>
      </c>
    </row>
    <row r="81" spans="15:17">
      <c r="O81" s="8">
        <v>1.83725</v>
      </c>
      <c r="P81" s="9">
        <f t="shared" si="2"/>
        <v>1.8208312359103345</v>
      </c>
      <c r="Q81">
        <f t="shared" si="3"/>
        <v>1.6418764089665583E-2</v>
      </c>
    </row>
    <row r="82" spans="15:17">
      <c r="O82" s="7">
        <v>1.8992599999999999</v>
      </c>
      <c r="P82" s="9">
        <f t="shared" si="2"/>
        <v>1.882210440627222</v>
      </c>
      <c r="Q82">
        <f t="shared" si="3"/>
        <v>1.7049559372777967E-2</v>
      </c>
    </row>
    <row r="83" spans="15:17">
      <c r="O83" s="8">
        <v>1.94594</v>
      </c>
      <c r="P83" s="9">
        <f t="shared" si="2"/>
        <v>1.9319987702604036</v>
      </c>
      <c r="Q83">
        <f t="shared" si="3"/>
        <v>1.3941229739596439E-2</v>
      </c>
    </row>
    <row r="84" spans="15:17">
      <c r="O84" s="7">
        <v>1.9740500000000001</v>
      </c>
      <c r="P84" s="9">
        <f t="shared" si="2"/>
        <v>1.968683431608085</v>
      </c>
      <c r="Q84">
        <f t="shared" si="3"/>
        <v>5.366568391915072E-3</v>
      </c>
    </row>
    <row r="85" spans="15:17">
      <c r="O85" s="8">
        <v>1.9939899999999999</v>
      </c>
      <c r="P85" s="9">
        <f t="shared" si="2"/>
        <v>1.9911497797985516</v>
      </c>
      <c r="Q85">
        <f t="shared" si="3"/>
        <v>2.8402202014483624E-3</v>
      </c>
    </row>
    <row r="86" spans="15:17">
      <c r="O86" s="7">
        <v>1.9981199999999999</v>
      </c>
      <c r="P86" s="9">
        <f t="shared" si="2"/>
        <v>1.9987151862105565</v>
      </c>
      <c r="Q86">
        <f t="shared" si="3"/>
        <v>5.9518621055665299E-4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6ACAB-3203-45BB-B337-ED582964AB2C}">
  <dimension ref="A1:U86"/>
  <sheetViews>
    <sheetView topLeftCell="A34" workbookViewId="0">
      <selection activeCell="F50" sqref="F50:F51"/>
    </sheetView>
  </sheetViews>
  <sheetFormatPr baseColWidth="10" defaultRowHeight="14.25"/>
  <cols>
    <col min="3" max="3" width="15" bestFit="1" customWidth="1"/>
  </cols>
  <sheetData>
    <row r="1" spans="1:19">
      <c r="A1" s="6" t="s">
        <v>10</v>
      </c>
      <c r="B1" s="6" t="s">
        <v>0</v>
      </c>
      <c r="C1" s="6" t="s">
        <v>11</v>
      </c>
      <c r="D1" s="6" t="s">
        <v>14</v>
      </c>
    </row>
    <row r="2" spans="1:19">
      <c r="A2" s="10">
        <v>0</v>
      </c>
      <c r="B2" s="10">
        <v>1.9992179999999999</v>
      </c>
      <c r="C2" s="6">
        <f>Tableau13[[#This Row],[Angle \ deg ]]*PI()/180</f>
        <v>0</v>
      </c>
      <c r="D2" s="6">
        <f>COS(Tableau13[[#This Row],[Colonne1]])</f>
        <v>1</v>
      </c>
    </row>
    <row r="3" spans="1:19">
      <c r="A3" s="10">
        <v>10</v>
      </c>
      <c r="B3" s="10">
        <v>1.9841310000000001</v>
      </c>
      <c r="C3" s="6">
        <f>Tableau13[[#This Row],[Angle \ deg ]]*PI()/180</f>
        <v>0.17453292519943295</v>
      </c>
      <c r="D3" s="6">
        <f>COS(Tableau13[[#This Row],[Colonne1]])</f>
        <v>0.98480775301220802</v>
      </c>
    </row>
    <row r="4" spans="1:19">
      <c r="A4" s="10">
        <v>20</v>
      </c>
      <c r="B4" s="10">
        <v>1.9580789999999999</v>
      </c>
      <c r="C4" s="6">
        <f>Tableau13[[#This Row],[Angle \ deg ]]*PI()/180</f>
        <v>0.3490658503988659</v>
      </c>
      <c r="D4" s="6">
        <f>COS(Tableau13[[#This Row],[Colonne1]])</f>
        <v>0.93969262078590843</v>
      </c>
    </row>
    <row r="5" spans="1:19">
      <c r="A5" s="10">
        <v>30</v>
      </c>
      <c r="B5" s="10">
        <v>1.9194830000000001</v>
      </c>
      <c r="C5" s="6">
        <f>Tableau13[[#This Row],[Angle \ deg ]]*PI()/180</f>
        <v>0.52359877559829882</v>
      </c>
      <c r="D5" s="6">
        <f>COS(Tableau13[[#This Row],[Colonne1]])</f>
        <v>0.86602540378443871</v>
      </c>
    </row>
    <row r="6" spans="1:19">
      <c r="A6" s="10">
        <v>40</v>
      </c>
      <c r="B6" s="10">
        <v>1.8658170000000001</v>
      </c>
      <c r="C6" s="6">
        <f>Tableau13[[#This Row],[Angle \ deg ]]*PI()/180</f>
        <v>0.69813170079773179</v>
      </c>
      <c r="D6" s="6">
        <f>COS(Tableau13[[#This Row],[Colonne1]])</f>
        <v>0.76604444311897801</v>
      </c>
    </row>
    <row r="7" spans="1:19">
      <c r="A7" s="10">
        <v>50</v>
      </c>
      <c r="B7" s="10">
        <v>1.8012980000000001</v>
      </c>
      <c r="C7" s="6">
        <f>Tableau13[[#This Row],[Angle \ deg ]]*PI()/180</f>
        <v>0.87266462599716477</v>
      </c>
      <c r="D7" s="6">
        <f>COS(Tableau13[[#This Row],[Colonne1]])</f>
        <v>0.64278760968653936</v>
      </c>
      <c r="O7" s="1">
        <v>40</v>
      </c>
      <c r="P7" s="11">
        <v>1.8658170000000001</v>
      </c>
    </row>
    <row r="8" spans="1:19">
      <c r="A8" s="10">
        <v>60</v>
      </c>
      <c r="B8" s="10">
        <v>1.7303869999999999</v>
      </c>
      <c r="C8" s="6">
        <f>Tableau13[[#This Row],[Angle \ deg ]]*PI()/180</f>
        <v>1.0471975511965976</v>
      </c>
      <c r="D8" s="6">
        <f>COS(Tableau13[[#This Row],[Colonne1]])</f>
        <v>0.50000000000000011</v>
      </c>
      <c r="O8" s="3">
        <v>50</v>
      </c>
      <c r="P8" s="12">
        <v>1.8012980000000001</v>
      </c>
    </row>
    <row r="9" spans="1:19">
      <c r="A9" s="10">
        <v>70</v>
      </c>
      <c r="B9" s="10">
        <v>1.650072</v>
      </c>
      <c r="C9" s="6">
        <f>Tableau13[[#This Row],[Angle \ deg ]]*PI()/180</f>
        <v>1.2217304763960306</v>
      </c>
      <c r="D9" s="6">
        <f>COS(Tableau13[[#This Row],[Colonne1]])</f>
        <v>0.34202014332566882</v>
      </c>
      <c r="O9" s="1">
        <v>60</v>
      </c>
      <c r="P9" s="11">
        <v>1.7303869999999999</v>
      </c>
      <c r="R9" s="5" t="s">
        <v>1</v>
      </c>
      <c r="S9" s="5" t="s">
        <v>2</v>
      </c>
    </row>
    <row r="10" spans="1:19">
      <c r="A10" s="10">
        <v>80</v>
      </c>
      <c r="B10" s="10">
        <v>1.565024</v>
      </c>
      <c r="C10" s="6">
        <f>Tableau13[[#This Row],[Angle \ deg ]]*PI()/180</f>
        <v>1.3962634015954636</v>
      </c>
      <c r="D10" s="6">
        <f>COS(Tableau13[[#This Row],[Colonne1]])</f>
        <v>0.17364817766693041</v>
      </c>
      <c r="O10" s="3">
        <v>70</v>
      </c>
      <c r="P10" s="12">
        <v>1.650072</v>
      </c>
      <c r="R10" s="6">
        <f t="array" ref="R10:S11">LINEST(P7:P17,O7:O17,1,1)</f>
        <v>-7.9205081818181818E-3</v>
      </c>
      <c r="S10" s="6">
        <v>2.1941666454545454</v>
      </c>
    </row>
    <row r="11" spans="1:19">
      <c r="A11" s="10">
        <v>90</v>
      </c>
      <c r="B11" s="10">
        <v>1.4802010000000001</v>
      </c>
      <c r="C11" s="6">
        <f>Tableau13[[#This Row],[Angle \ deg ]]*PI()/180</f>
        <v>1.5707963267948966</v>
      </c>
      <c r="D11" s="6">
        <f>COS(Tableau13[[#This Row],[Colonne1]])</f>
        <v>6.1257422745431001E-17</v>
      </c>
      <c r="O11" s="1">
        <v>80</v>
      </c>
      <c r="P11" s="11">
        <v>1.565024</v>
      </c>
      <c r="R11" s="6">
        <v>1.0256551688686574E-4</v>
      </c>
      <c r="S11" s="6">
        <v>9.7841267271972961E-3</v>
      </c>
    </row>
    <row r="12" spans="1:19">
      <c r="A12" s="10">
        <v>100</v>
      </c>
      <c r="B12" s="10">
        <v>1.392174</v>
      </c>
      <c r="C12" s="6">
        <f>Tableau13[[#This Row],[Angle \ deg ]]*PI()/180</f>
        <v>1.7453292519943295</v>
      </c>
      <c r="D12" s="6">
        <f>COS(Tableau13[[#This Row],[Colonne1]])</f>
        <v>-0.1736481776669303</v>
      </c>
      <c r="O12" s="3">
        <v>90</v>
      </c>
      <c r="P12" s="12">
        <v>1.4802010000000001</v>
      </c>
      <c r="R12" s="5" t="s">
        <v>3</v>
      </c>
      <c r="S12" s="5" t="s">
        <v>4</v>
      </c>
    </row>
    <row r="13" spans="1:19">
      <c r="A13" s="10">
        <v>110</v>
      </c>
      <c r="B13" s="10">
        <v>1.3101689999999999</v>
      </c>
      <c r="C13" s="6">
        <f>Tableau13[[#This Row],[Angle \ deg ]]*PI()/180</f>
        <v>1.9198621771937625</v>
      </c>
      <c r="D13" s="6">
        <f>COS(Tableau13[[#This Row],[Colonne1]])</f>
        <v>-0.34202014332566871</v>
      </c>
      <c r="O13" s="1">
        <v>100</v>
      </c>
      <c r="P13" s="11">
        <v>1.392174</v>
      </c>
    </row>
    <row r="14" spans="1:19">
      <c r="A14" s="10">
        <v>120</v>
      </c>
      <c r="B14" s="10">
        <v>1.234202</v>
      </c>
      <c r="C14" s="6">
        <f>Tableau13[[#This Row],[Angle \ deg ]]*PI()/180</f>
        <v>2.0943951023931953</v>
      </c>
      <c r="D14" s="6">
        <f>COS(Tableau13[[#This Row],[Colonne1]])</f>
        <v>-0.49999999999999978</v>
      </c>
      <c r="O14" s="3">
        <v>110</v>
      </c>
      <c r="P14" s="12">
        <v>1.3101689999999999</v>
      </c>
    </row>
    <row r="15" spans="1:19">
      <c r="A15" s="10">
        <v>130</v>
      </c>
      <c r="B15" s="10">
        <v>1.163001</v>
      </c>
      <c r="C15" s="6">
        <f>Tableau13[[#This Row],[Angle \ deg ]]*PI()/180</f>
        <v>2.2689280275926285</v>
      </c>
      <c r="D15" s="6">
        <f>COS(Tableau13[[#This Row],[Colonne1]])</f>
        <v>-0.64278760968653936</v>
      </c>
      <c r="O15" s="1">
        <v>120</v>
      </c>
      <c r="P15" s="11">
        <v>1.234202</v>
      </c>
    </row>
    <row r="16" spans="1:19">
      <c r="A16" s="10">
        <v>140</v>
      </c>
      <c r="B16" s="10">
        <v>1.102185</v>
      </c>
      <c r="C16" s="6">
        <f>Tableau13[[#This Row],[Angle \ deg ]]*PI()/180</f>
        <v>2.4434609527920612</v>
      </c>
      <c r="D16" s="6">
        <f>COS(Tableau13[[#This Row],[Colonne1]])</f>
        <v>-0.7660444431189779</v>
      </c>
      <c r="O16" s="3">
        <v>130</v>
      </c>
      <c r="P16" s="12">
        <v>1.163001</v>
      </c>
    </row>
    <row r="17" spans="1:21">
      <c r="A17" s="10">
        <v>150</v>
      </c>
      <c r="B17" s="10">
        <v>1.055571</v>
      </c>
      <c r="C17" s="6">
        <f>Tableau13[[#This Row],[Angle \ deg ]]*PI()/180</f>
        <v>2.6179938779914944</v>
      </c>
      <c r="D17" s="6">
        <f>COS(Tableau13[[#This Row],[Colonne1]])</f>
        <v>-0.86602540378443871</v>
      </c>
      <c r="O17" s="1">
        <v>140</v>
      </c>
      <c r="P17" s="11">
        <v>1.102185</v>
      </c>
    </row>
    <row r="18" spans="1:21">
      <c r="A18" s="10">
        <v>160</v>
      </c>
      <c r="B18" s="10">
        <v>1.0244629999999999</v>
      </c>
      <c r="C18" s="6">
        <f>Tableau13[[#This Row],[Angle \ deg ]]*PI()/180</f>
        <v>2.7925268031909272</v>
      </c>
      <c r="D18" s="6">
        <f>COS(Tableau13[[#This Row],[Colonne1]])</f>
        <v>-0.93969262078590832</v>
      </c>
    </row>
    <row r="19" spans="1:21">
      <c r="A19" s="10">
        <v>170</v>
      </c>
      <c r="B19" s="10">
        <v>1.0052859999999999</v>
      </c>
      <c r="C19" s="6">
        <f>Tableau13[[#This Row],[Angle \ deg ]]*PI()/180</f>
        <v>2.9670597283903604</v>
      </c>
      <c r="D19" s="6">
        <f>COS(Tableau13[[#This Row],[Colonne1]])</f>
        <v>-0.98480775301220802</v>
      </c>
    </row>
    <row r="20" spans="1:21">
      <c r="A20" s="10">
        <v>180</v>
      </c>
      <c r="B20" s="10">
        <v>1.0028710000000001</v>
      </c>
      <c r="C20" s="6">
        <f>Tableau13[[#This Row],[Angle \ deg ]]*PI()/180</f>
        <v>3.1415926535897931</v>
      </c>
      <c r="D20" s="6">
        <f>COS(Tableau13[[#This Row],[Colonne1]])</f>
        <v>-1</v>
      </c>
    </row>
    <row r="21" spans="1:21">
      <c r="A21" s="10">
        <v>190</v>
      </c>
      <c r="B21" s="10">
        <v>1.0125</v>
      </c>
      <c r="C21" s="6">
        <f>Tableau13[[#This Row],[Angle \ deg ]]*PI()/180</f>
        <v>3.3161255787892263</v>
      </c>
      <c r="D21" s="6">
        <f>COS(Tableau13[[#This Row],[Colonne1]])</f>
        <v>-0.98480775301220802</v>
      </c>
    </row>
    <row r="22" spans="1:21">
      <c r="A22" s="10">
        <v>200</v>
      </c>
      <c r="B22" s="10">
        <v>1.0380370000000001</v>
      </c>
      <c r="C22" s="6">
        <f>Tableau13[[#This Row],[Angle \ deg ]]*PI()/180</f>
        <v>3.4906585039886591</v>
      </c>
      <c r="D22" s="6">
        <f>COS(Tableau13[[#This Row],[Colonne1]])</f>
        <v>-0.93969262078590843</v>
      </c>
    </row>
    <row r="23" spans="1:21">
      <c r="A23" s="10">
        <v>210</v>
      </c>
      <c r="B23" s="10">
        <v>1.07924</v>
      </c>
      <c r="C23" s="6">
        <f>Tableau13[[#This Row],[Angle \ deg ]]*PI()/180</f>
        <v>3.6651914291880923</v>
      </c>
      <c r="D23" s="6">
        <f>COS(Tableau13[[#This Row],[Colonne1]])</f>
        <v>-0.8660254037844386</v>
      </c>
      <c r="R23" s="5" t="s">
        <v>7</v>
      </c>
    </row>
    <row r="24" spans="1:21">
      <c r="A24" s="10">
        <v>220</v>
      </c>
      <c r="B24" s="10">
        <v>1.132118</v>
      </c>
      <c r="C24" s="6">
        <f>Tableau13[[#This Row],[Angle \ deg ]]*PI()/180</f>
        <v>3.839724354387525</v>
      </c>
      <c r="D24" s="6">
        <f>COS(Tableau13[[#This Row],[Colonne1]])</f>
        <v>-0.76604444311897801</v>
      </c>
      <c r="O24" t="s">
        <v>5</v>
      </c>
      <c r="R24" s="6">
        <f>MAX(U25:U35)</f>
        <v>1.6230999999999662E-2</v>
      </c>
      <c r="U24" t="s">
        <v>6</v>
      </c>
    </row>
    <row r="25" spans="1:21">
      <c r="A25" s="10">
        <v>230</v>
      </c>
      <c r="B25" s="10">
        <v>1.1960729999999999</v>
      </c>
      <c r="C25" s="6">
        <f>Tableau13[[#This Row],[Angle \ deg ]]*PI()/180</f>
        <v>4.0142572795869578</v>
      </c>
      <c r="D25" s="6">
        <f>COS(Tableau13[[#This Row],[Colonne1]])</f>
        <v>-0.64278760968653947</v>
      </c>
      <c r="O25" s="1">
        <v>40</v>
      </c>
      <c r="P25" s="2">
        <f>-0.0079*O25+2.1954</f>
        <v>1.8793999999999997</v>
      </c>
      <c r="R25" s="5" t="s">
        <v>8</v>
      </c>
      <c r="T25" s="1">
        <v>40</v>
      </c>
      <c r="U25">
        <f t="shared" ref="U25:U35" si="0">ABS(P7-P25)</f>
        <v>1.3582999999999679E-2</v>
      </c>
    </row>
    <row r="26" spans="1:21">
      <c r="A26" s="10">
        <v>240</v>
      </c>
      <c r="B26" s="10">
        <v>1.2684340000000001</v>
      </c>
      <c r="C26" s="6">
        <f>Tableau13[[#This Row],[Angle \ deg ]]*PI()/180</f>
        <v>4.1887902047863905</v>
      </c>
      <c r="D26" s="6">
        <f>COS(Tableau13[[#This Row],[Colonne1]])</f>
        <v>-0.50000000000000044</v>
      </c>
      <c r="O26" s="3">
        <v>50</v>
      </c>
      <c r="P26" s="2">
        <f t="shared" ref="P26:P35" si="1">-0.0079*O26+2.1954</f>
        <v>1.8003999999999998</v>
      </c>
      <c r="R26" s="6">
        <f>P7-P17</f>
        <v>0.76363200000000009</v>
      </c>
      <c r="T26" s="3">
        <v>50</v>
      </c>
      <c r="U26">
        <f t="shared" si="0"/>
        <v>8.9800000000028746E-4</v>
      </c>
    </row>
    <row r="27" spans="1:21">
      <c r="A27" s="10">
        <v>250</v>
      </c>
      <c r="B27" s="10">
        <v>1.348201</v>
      </c>
      <c r="C27" s="6">
        <f>Tableau13[[#This Row],[Angle \ deg ]]*PI()/180</f>
        <v>4.3633231299858233</v>
      </c>
      <c r="D27" s="6">
        <f>COS(Tableau13[[#This Row],[Colonne1]])</f>
        <v>-0.34202014332566938</v>
      </c>
      <c r="O27" s="1">
        <v>60</v>
      </c>
      <c r="P27" s="2">
        <f t="shared" si="1"/>
        <v>1.7213999999999998</v>
      </c>
      <c r="R27" s="6"/>
      <c r="T27" s="1">
        <v>60</v>
      </c>
      <c r="U27">
        <f t="shared" si="0"/>
        <v>8.9870000000000783E-3</v>
      </c>
    </row>
    <row r="28" spans="1:21">
      <c r="A28" s="10">
        <v>260</v>
      </c>
      <c r="B28" s="10">
        <v>1.4342790000000001</v>
      </c>
      <c r="C28" s="6">
        <f>Tableau13[[#This Row],[Angle \ deg ]]*PI()/180</f>
        <v>4.5378560551852569</v>
      </c>
      <c r="D28" s="6">
        <f>COS(Tableau13[[#This Row],[Colonne1]])</f>
        <v>-0.17364817766693033</v>
      </c>
      <c r="O28" s="3">
        <v>70</v>
      </c>
      <c r="P28" s="2">
        <f t="shared" si="1"/>
        <v>1.6423999999999999</v>
      </c>
      <c r="R28" s="5" t="s">
        <v>9</v>
      </c>
      <c r="T28" s="3">
        <v>70</v>
      </c>
      <c r="U28">
        <f t="shared" si="0"/>
        <v>7.6720000000001232E-3</v>
      </c>
    </row>
    <row r="29" spans="1:21">
      <c r="A29" s="10">
        <v>270</v>
      </c>
      <c r="B29" s="10">
        <v>1.5189090000000001</v>
      </c>
      <c r="C29" s="6">
        <f>Tableau13[[#This Row],[Angle \ deg ]]*PI()/180</f>
        <v>4.7123889803846897</v>
      </c>
      <c r="D29" s="6">
        <f>COS(Tableau13[[#This Row],[Colonne1]])</f>
        <v>-1.83772268236293E-16</v>
      </c>
      <c r="O29" s="1">
        <v>80</v>
      </c>
      <c r="P29" s="2">
        <f t="shared" si="1"/>
        <v>1.5633999999999997</v>
      </c>
      <c r="R29" s="6">
        <f>(R24/R26)*100</f>
        <v>2.1255002409537136</v>
      </c>
      <c r="T29" s="1">
        <v>80</v>
      </c>
      <c r="U29">
        <f t="shared" si="0"/>
        <v>1.6240000000002919E-3</v>
      </c>
    </row>
    <row r="30" spans="1:21">
      <c r="A30" s="10">
        <v>280</v>
      </c>
      <c r="B30" s="10">
        <v>1.6050199999999999</v>
      </c>
      <c r="C30" s="6">
        <f>Tableau13[[#This Row],[Angle \ deg ]]*PI()/180</f>
        <v>4.8869219055841224</v>
      </c>
      <c r="D30" s="6">
        <f>COS(Tableau13[[#This Row],[Colonne1]])</f>
        <v>0.17364817766692997</v>
      </c>
      <c r="O30" s="3">
        <v>90</v>
      </c>
      <c r="P30" s="2">
        <f t="shared" si="1"/>
        <v>1.4843999999999997</v>
      </c>
      <c r="T30" s="3">
        <v>90</v>
      </c>
      <c r="U30">
        <f t="shared" si="0"/>
        <v>4.1989999999996197E-3</v>
      </c>
    </row>
    <row r="31" spans="1:21">
      <c r="A31" s="10">
        <v>290</v>
      </c>
      <c r="B31" s="10">
        <v>1.6916629999999999</v>
      </c>
      <c r="C31" s="6">
        <f>Tableau13[[#This Row],[Angle \ deg ]]*PI()/180</f>
        <v>5.0614548307835552</v>
      </c>
      <c r="D31" s="6">
        <f>COS(Tableau13[[#This Row],[Colonne1]])</f>
        <v>0.34202014332566816</v>
      </c>
      <c r="O31" s="1">
        <v>100</v>
      </c>
      <c r="P31" s="2">
        <f t="shared" si="1"/>
        <v>1.4053999999999998</v>
      </c>
      <c r="T31" s="1">
        <v>100</v>
      </c>
      <c r="U31">
        <f t="shared" si="0"/>
        <v>1.3225999999999738E-2</v>
      </c>
    </row>
    <row r="32" spans="1:21">
      <c r="A32" s="10">
        <v>300</v>
      </c>
      <c r="B32" s="10">
        <v>1.7673239999999999</v>
      </c>
      <c r="C32" s="6">
        <f>Tableau13[[#This Row],[Angle \ deg ]]*PI()/180</f>
        <v>5.2359877559829888</v>
      </c>
      <c r="D32" s="6">
        <f>COS(Tableau13[[#This Row],[Colonne1]])</f>
        <v>0.50000000000000011</v>
      </c>
      <c r="O32" s="3">
        <v>110</v>
      </c>
      <c r="P32" s="2">
        <f t="shared" si="1"/>
        <v>1.3263999999999996</v>
      </c>
      <c r="T32" s="3">
        <v>110</v>
      </c>
      <c r="U32">
        <f t="shared" si="0"/>
        <v>1.6230999999999662E-2</v>
      </c>
    </row>
    <row r="33" spans="1:21">
      <c r="A33" s="10">
        <v>310</v>
      </c>
      <c r="B33" s="10">
        <v>1.8363989999999999</v>
      </c>
      <c r="C33" s="6">
        <f>Tableau13[[#This Row],[Angle \ deg ]]*PI()/180</f>
        <v>5.4105206811824216</v>
      </c>
      <c r="D33" s="6">
        <f>COS(Tableau13[[#This Row],[Colonne1]])</f>
        <v>0.64278760968653925</v>
      </c>
      <c r="O33" s="1">
        <v>120</v>
      </c>
      <c r="P33" s="2">
        <f t="shared" si="1"/>
        <v>1.2473999999999998</v>
      </c>
      <c r="T33" s="1">
        <v>120</v>
      </c>
      <c r="U33">
        <f t="shared" si="0"/>
        <v>1.3197999999999821E-2</v>
      </c>
    </row>
    <row r="34" spans="1:21">
      <c r="A34" s="10">
        <v>320</v>
      </c>
      <c r="B34" s="10">
        <v>1.8971990000000001</v>
      </c>
      <c r="C34" s="6">
        <f>Tableau13[[#This Row],[Angle \ deg ]]*PI()/180</f>
        <v>5.5850536063818543</v>
      </c>
      <c r="D34" s="6">
        <f>COS(Tableau13[[#This Row],[Colonne1]])</f>
        <v>0.76604444311897779</v>
      </c>
      <c r="O34" s="3">
        <v>130</v>
      </c>
      <c r="P34" s="2">
        <f t="shared" si="1"/>
        <v>1.1683999999999997</v>
      </c>
      <c r="T34" s="3">
        <v>130</v>
      </c>
      <c r="U34">
        <f t="shared" si="0"/>
        <v>5.3989999999997096E-3</v>
      </c>
    </row>
    <row r="35" spans="1:21">
      <c r="A35" s="10">
        <v>330</v>
      </c>
      <c r="B35" s="10">
        <v>1.944747</v>
      </c>
      <c r="C35" s="6">
        <f>Tableau13[[#This Row],[Angle \ deg ]]*PI()/180</f>
        <v>5.7595865315812871</v>
      </c>
      <c r="D35" s="6">
        <f>COS(Tableau13[[#This Row],[Colonne1]])</f>
        <v>0.86602540378443837</v>
      </c>
      <c r="O35" s="1">
        <v>140</v>
      </c>
      <c r="P35" s="2">
        <f t="shared" si="1"/>
        <v>1.0893999999999997</v>
      </c>
      <c r="T35" s="1">
        <v>140</v>
      </c>
      <c r="U35">
        <f t="shared" si="0"/>
        <v>1.2785000000000268E-2</v>
      </c>
    </row>
    <row r="36" spans="1:21">
      <c r="A36" s="10">
        <v>340</v>
      </c>
      <c r="B36" s="10">
        <v>1.9747920000000001</v>
      </c>
      <c r="C36" s="6">
        <f>Tableau13[[#This Row],[Angle \ deg ]]*PI()/180</f>
        <v>5.9341194567807207</v>
      </c>
      <c r="D36" s="6">
        <f>COS(Tableau13[[#This Row],[Colonne1]])</f>
        <v>0.93969262078590843</v>
      </c>
    </row>
    <row r="37" spans="1:21">
      <c r="A37" s="10">
        <v>350</v>
      </c>
      <c r="B37" s="10">
        <v>1.9944519999999999</v>
      </c>
      <c r="C37" s="6">
        <f>Tableau13[[#This Row],[Angle \ deg ]]*PI()/180</f>
        <v>6.1086523819801526</v>
      </c>
      <c r="D37" s="6">
        <f>COS(Tableau13[[#This Row],[Colonne1]])</f>
        <v>0.98480775301220791</v>
      </c>
    </row>
    <row r="38" spans="1:21">
      <c r="A38" s="10">
        <v>360</v>
      </c>
      <c r="B38" s="10">
        <v>1.997447</v>
      </c>
      <c r="C38" s="6">
        <f>Tableau13[[#This Row],[Angle \ deg ]]*PI()/180</f>
        <v>6.2831853071795862</v>
      </c>
      <c r="D38" s="6">
        <f>COS(Tableau13[[#This Row],[Colonne1]])</f>
        <v>1</v>
      </c>
    </row>
    <row r="39" spans="1:21">
      <c r="A39" s="6"/>
      <c r="B39" s="6"/>
      <c r="C39" s="6"/>
      <c r="D39" s="6"/>
      <c r="O39" t="s">
        <v>13</v>
      </c>
      <c r="P39" t="s">
        <v>12</v>
      </c>
    </row>
    <row r="40" spans="1:21">
      <c r="A40" s="6"/>
      <c r="B40" s="6"/>
      <c r="C40" s="6"/>
      <c r="D40" s="6"/>
      <c r="O40">
        <f t="array" ref="O40:P41">LINEST(B2:B38,D2:D38,1,1)</f>
        <v>0.49812869680931743</v>
      </c>
      <c r="P40">
        <v>1.4995226298159645</v>
      </c>
    </row>
    <row r="41" spans="1:21">
      <c r="A41" s="6"/>
      <c r="B41" s="6"/>
      <c r="C41" s="6"/>
      <c r="D41" s="6"/>
      <c r="O41">
        <v>3.5410706486455209E-3</v>
      </c>
      <c r="P41">
        <v>2.5375261704696384E-3</v>
      </c>
    </row>
    <row r="42" spans="1:21">
      <c r="A42" s="6"/>
      <c r="B42" s="6"/>
      <c r="C42" s="6"/>
      <c r="D42" s="6"/>
      <c r="O42" t="s">
        <v>15</v>
      </c>
      <c r="P42" t="s">
        <v>16</v>
      </c>
    </row>
    <row r="43" spans="1:21">
      <c r="A43" s="6"/>
      <c r="B43" s="6"/>
      <c r="C43" s="6"/>
      <c r="D43" s="6"/>
    </row>
    <row r="44" spans="1:21">
      <c r="A44" s="6"/>
      <c r="B44" s="6"/>
      <c r="C44" s="6"/>
      <c r="D44" s="6"/>
    </row>
    <row r="45" spans="1:21">
      <c r="A45" s="6"/>
      <c r="B45" s="6"/>
      <c r="C45" s="6"/>
      <c r="D45" s="6"/>
    </row>
    <row r="46" spans="1:21">
      <c r="A46" s="6" t="s">
        <v>22</v>
      </c>
      <c r="B46" s="6" t="s">
        <v>23</v>
      </c>
      <c r="C46" s="6" t="s">
        <v>24</v>
      </c>
      <c r="D46" s="6"/>
    </row>
    <row r="47" spans="1:21">
      <c r="A47" s="6">
        <v>1</v>
      </c>
      <c r="B47" s="6">
        <f>ASIN(A47)</f>
        <v>1.5707963267948966</v>
      </c>
      <c r="C47" s="13">
        <f>DEGREES(B47)</f>
        <v>90</v>
      </c>
      <c r="D47" s="6"/>
    </row>
    <row r="48" spans="1:21">
      <c r="A48" s="6">
        <v>0.9</v>
      </c>
      <c r="B48" s="6">
        <f t="shared" ref="B48:B67" si="2">ASIN(A48)</f>
        <v>1.1197695149986342</v>
      </c>
      <c r="C48" s="13">
        <f t="shared" ref="C48:C67" si="3">DEGREES(B48)</f>
        <v>64.158067236832878</v>
      </c>
      <c r="D48" s="6"/>
    </row>
    <row r="49" spans="1:18">
      <c r="A49" s="6">
        <v>0.8</v>
      </c>
      <c r="B49" s="6">
        <f t="shared" si="2"/>
        <v>0.9272952180016123</v>
      </c>
      <c r="C49" s="13">
        <f t="shared" si="3"/>
        <v>53.130102354155987</v>
      </c>
      <c r="D49" s="6"/>
      <c r="O49" t="s">
        <v>19</v>
      </c>
      <c r="P49" t="s">
        <v>18</v>
      </c>
      <c r="Q49" t="s">
        <v>20</v>
      </c>
      <c r="R49" t="s">
        <v>21</v>
      </c>
    </row>
    <row r="50" spans="1:18">
      <c r="A50" s="6">
        <v>0.7</v>
      </c>
      <c r="B50" s="6">
        <f t="shared" si="2"/>
        <v>0.77539749661075308</v>
      </c>
      <c r="C50" s="13">
        <f t="shared" si="3"/>
        <v>44.427004000805709</v>
      </c>
      <c r="D50" s="6"/>
      <c r="O50" s="11">
        <v>1.9992179999999999</v>
      </c>
      <c r="P50" s="9">
        <f xml:space="preserve"> $O$40*D2+ $P$40</f>
        <v>1.997651326625282</v>
      </c>
      <c r="Q50">
        <f>ABS(O50-P50)</f>
        <v>1.5666733747179418E-3</v>
      </c>
      <c r="R50">
        <f>MAX(Q50:Q86)</f>
        <v>2.1770321906684265E-2</v>
      </c>
    </row>
    <row r="51" spans="1:18">
      <c r="A51" s="6">
        <v>0.6</v>
      </c>
      <c r="B51" s="6">
        <f t="shared" si="2"/>
        <v>0.64350110879328437</v>
      </c>
      <c r="C51" s="13">
        <f t="shared" si="3"/>
        <v>36.86989764584402</v>
      </c>
      <c r="D51" s="6"/>
      <c r="O51" s="12">
        <v>1.9841310000000001</v>
      </c>
      <c r="P51" s="9">
        <f t="shared" ref="P51:P86" si="4" xml:space="preserve"> $O$40*D3+ $P$40</f>
        <v>1.9900836324316478</v>
      </c>
      <c r="Q51">
        <f t="shared" ref="Q51:Q86" si="5">ABS(O51-P51)</f>
        <v>5.9526324316476753E-3</v>
      </c>
    </row>
    <row r="52" spans="1:18">
      <c r="A52" s="6">
        <v>0.5</v>
      </c>
      <c r="B52" s="6">
        <f t="shared" si="2"/>
        <v>0.52359877559829893</v>
      </c>
      <c r="C52" s="13">
        <f t="shared" si="3"/>
        <v>30.000000000000004</v>
      </c>
      <c r="D52" s="6"/>
      <c r="O52" s="11">
        <v>1.9580789999999999</v>
      </c>
      <c r="P52" s="9">
        <f t="shared" si="4"/>
        <v>1.9676104904093812</v>
      </c>
      <c r="Q52">
        <f t="shared" si="5"/>
        <v>9.5314904093812824E-3</v>
      </c>
    </row>
    <row r="53" spans="1:18">
      <c r="A53" s="6">
        <v>0.4</v>
      </c>
      <c r="B53" s="6">
        <f t="shared" si="2"/>
        <v>0.41151684606748801</v>
      </c>
      <c r="C53" s="13">
        <f t="shared" si="3"/>
        <v>23.578178478201831</v>
      </c>
      <c r="D53" s="6"/>
      <c r="O53" s="12">
        <v>1.9194830000000001</v>
      </c>
      <c r="P53" s="9">
        <f t="shared" si="4"/>
        <v>1.9309147356068699</v>
      </c>
      <c r="Q53">
        <f t="shared" si="5"/>
        <v>1.1431735606869831E-2</v>
      </c>
    </row>
    <row r="54" spans="1:18">
      <c r="A54" s="6">
        <v>0.3</v>
      </c>
      <c r="B54" s="6">
        <f t="shared" si="2"/>
        <v>0.30469265401539752</v>
      </c>
      <c r="C54" s="13">
        <f t="shared" si="3"/>
        <v>17.457603123722095</v>
      </c>
      <c r="D54" s="6"/>
      <c r="O54" s="11">
        <v>1.8658170000000001</v>
      </c>
      <c r="P54" s="9">
        <f t="shared" si="4"/>
        <v>1.8811113499648404</v>
      </c>
      <c r="Q54">
        <f t="shared" si="5"/>
        <v>1.5294349964840359E-2</v>
      </c>
    </row>
    <row r="55" spans="1:18">
      <c r="A55" s="6">
        <v>0.2</v>
      </c>
      <c r="B55" s="6">
        <f t="shared" si="2"/>
        <v>0.20135792079033082</v>
      </c>
      <c r="C55" s="13">
        <f t="shared" si="3"/>
        <v>11.53695903281549</v>
      </c>
      <c r="D55" s="6"/>
      <c r="O55" s="12">
        <v>1.8012980000000001</v>
      </c>
      <c r="P55" s="9">
        <f t="shared" si="4"/>
        <v>1.8197135841542966</v>
      </c>
      <c r="Q55">
        <f t="shared" si="5"/>
        <v>1.841558415429656E-2</v>
      </c>
    </row>
    <row r="56" spans="1:18">
      <c r="A56" s="6">
        <v>0.1</v>
      </c>
      <c r="B56" s="6">
        <f t="shared" si="2"/>
        <v>0.1001674211615598</v>
      </c>
      <c r="C56" s="13">
        <f t="shared" si="3"/>
        <v>5.7391704772667866</v>
      </c>
      <c r="D56" s="6"/>
      <c r="O56" s="11">
        <v>1.7303869999999999</v>
      </c>
      <c r="P56" s="9">
        <f t="shared" si="4"/>
        <v>1.7485869782206234</v>
      </c>
      <c r="Q56">
        <f t="shared" si="5"/>
        <v>1.8199978220623469E-2</v>
      </c>
    </row>
    <row r="57" spans="1:18">
      <c r="A57" s="6">
        <v>0</v>
      </c>
      <c r="B57" s="6">
        <f t="shared" si="2"/>
        <v>0</v>
      </c>
      <c r="C57" s="13">
        <f t="shared" si="3"/>
        <v>0</v>
      </c>
      <c r="D57" s="6"/>
      <c r="O57" s="12">
        <v>1.650072</v>
      </c>
      <c r="P57" s="9">
        <f t="shared" si="4"/>
        <v>1.6698926780933159</v>
      </c>
      <c r="Q57">
        <f t="shared" si="5"/>
        <v>1.9820678093315891E-2</v>
      </c>
    </row>
    <row r="58" spans="1:18">
      <c r="A58" s="6">
        <v>-0.1</v>
      </c>
      <c r="B58" s="6">
        <f t="shared" si="2"/>
        <v>-0.1001674211615598</v>
      </c>
      <c r="C58" s="13">
        <f t="shared" si="3"/>
        <v>-5.7391704772667866</v>
      </c>
      <c r="D58" s="13">
        <f>360+C58</f>
        <v>354.26082952273322</v>
      </c>
      <c r="O58" s="11">
        <v>1.565024</v>
      </c>
      <c r="P58" s="9">
        <f t="shared" si="4"/>
        <v>1.5860217702605053</v>
      </c>
      <c r="Q58">
        <f t="shared" si="5"/>
        <v>2.0997770260505311E-2</v>
      </c>
    </row>
    <row r="59" spans="1:18">
      <c r="A59" s="6">
        <v>-0.2</v>
      </c>
      <c r="B59" s="6">
        <f t="shared" si="2"/>
        <v>-0.20135792079033082</v>
      </c>
      <c r="C59" s="13">
        <f t="shared" si="3"/>
        <v>-11.53695903281549</v>
      </c>
      <c r="D59" s="13">
        <f t="shared" ref="D59:D67" si="6">360+C59</f>
        <v>348.4630409671845</v>
      </c>
      <c r="O59" s="12">
        <v>1.4802010000000001</v>
      </c>
      <c r="P59" s="9">
        <f t="shared" si="4"/>
        <v>1.4995226298159645</v>
      </c>
      <c r="Q59">
        <f t="shared" si="5"/>
        <v>1.9321629815964414E-2</v>
      </c>
    </row>
    <row r="60" spans="1:18">
      <c r="A60" s="6">
        <v>-0.3</v>
      </c>
      <c r="B60" s="6">
        <f t="shared" si="2"/>
        <v>-0.30469265401539752</v>
      </c>
      <c r="C60" s="13">
        <f t="shared" si="3"/>
        <v>-17.457603123722095</v>
      </c>
      <c r="D60" s="13">
        <f t="shared" si="6"/>
        <v>342.54239687627791</v>
      </c>
      <c r="O60" s="11">
        <v>1.392174</v>
      </c>
      <c r="P60" s="9">
        <f t="shared" si="4"/>
        <v>1.4130234893714237</v>
      </c>
      <c r="Q60">
        <f t="shared" si="5"/>
        <v>2.0849489371423724E-2</v>
      </c>
    </row>
    <row r="61" spans="1:18">
      <c r="A61" s="6">
        <v>-0.4</v>
      </c>
      <c r="B61" s="6">
        <f t="shared" si="2"/>
        <v>-0.41151684606748801</v>
      </c>
      <c r="C61" s="13">
        <f t="shared" si="3"/>
        <v>-23.578178478201831</v>
      </c>
      <c r="D61" s="13">
        <f t="shared" si="6"/>
        <v>336.42182152179817</v>
      </c>
      <c r="O61" s="12">
        <v>1.3101689999999999</v>
      </c>
      <c r="P61" s="9">
        <f t="shared" si="4"/>
        <v>1.3291525815386132</v>
      </c>
      <c r="Q61">
        <f t="shared" si="5"/>
        <v>1.8983581538613237E-2</v>
      </c>
    </row>
    <row r="62" spans="1:18">
      <c r="A62" s="6">
        <v>-0.5</v>
      </c>
      <c r="B62" s="6">
        <f t="shared" si="2"/>
        <v>-0.52359877559829893</v>
      </c>
      <c r="C62" s="13">
        <f t="shared" si="3"/>
        <v>-30.000000000000004</v>
      </c>
      <c r="D62" s="13">
        <f t="shared" si="6"/>
        <v>330</v>
      </c>
      <c r="O62" s="11">
        <v>1.234202</v>
      </c>
      <c r="P62" s="9">
        <f t="shared" si="4"/>
        <v>1.2504582814113059</v>
      </c>
      <c r="Q62">
        <f t="shared" si="5"/>
        <v>1.6256281411305862E-2</v>
      </c>
    </row>
    <row r="63" spans="1:18">
      <c r="A63" s="6">
        <v>-0.6</v>
      </c>
      <c r="B63" s="6">
        <f t="shared" si="2"/>
        <v>-0.64350110879328437</v>
      </c>
      <c r="C63" s="13">
        <f t="shared" si="3"/>
        <v>-36.86989764584402</v>
      </c>
      <c r="D63" s="13">
        <f t="shared" si="6"/>
        <v>323.13010235415595</v>
      </c>
      <c r="O63" s="12">
        <v>1.163001</v>
      </c>
      <c r="P63" s="9">
        <f t="shared" si="4"/>
        <v>1.1793316754776324</v>
      </c>
      <c r="Q63">
        <f t="shared" si="5"/>
        <v>1.633067547763245E-2</v>
      </c>
    </row>
    <row r="64" spans="1:18">
      <c r="A64" s="6">
        <v>-0.7</v>
      </c>
      <c r="B64" s="6">
        <f t="shared" si="2"/>
        <v>-0.77539749661075308</v>
      </c>
      <c r="C64" s="13">
        <f t="shared" si="3"/>
        <v>-44.427004000805709</v>
      </c>
      <c r="D64" s="13">
        <f t="shared" si="6"/>
        <v>315.57299599919429</v>
      </c>
      <c r="O64" s="11">
        <v>1.102185</v>
      </c>
      <c r="P64" s="9">
        <f t="shared" si="4"/>
        <v>1.1179339096670888</v>
      </c>
      <c r="Q64">
        <f t="shared" si="5"/>
        <v>1.5748909667088862E-2</v>
      </c>
    </row>
    <row r="65" spans="1:17">
      <c r="A65" s="6">
        <v>-0.8</v>
      </c>
      <c r="B65" s="6">
        <f t="shared" si="2"/>
        <v>-0.9272952180016123</v>
      </c>
      <c r="C65" s="13">
        <f t="shared" si="3"/>
        <v>-53.130102354155987</v>
      </c>
      <c r="D65" s="13">
        <f t="shared" si="6"/>
        <v>306.86989764584399</v>
      </c>
      <c r="O65" s="12">
        <v>1.055571</v>
      </c>
      <c r="P65" s="9">
        <f t="shared" si="4"/>
        <v>1.0681305240250591</v>
      </c>
      <c r="Q65">
        <f t="shared" si="5"/>
        <v>1.255952402505911E-2</v>
      </c>
    </row>
    <row r="66" spans="1:17">
      <c r="A66" s="6">
        <v>-0.9</v>
      </c>
      <c r="B66" s="6">
        <f t="shared" si="2"/>
        <v>-1.119769514998634</v>
      </c>
      <c r="C66" s="13">
        <f t="shared" si="3"/>
        <v>-64.158067236832864</v>
      </c>
      <c r="D66" s="13">
        <f t="shared" si="6"/>
        <v>295.84193276316716</v>
      </c>
      <c r="O66" s="11">
        <v>1.0244629999999999</v>
      </c>
      <c r="P66" s="9">
        <f t="shared" si="4"/>
        <v>1.0314347692225478</v>
      </c>
      <c r="Q66">
        <f t="shared" si="5"/>
        <v>6.9717692225479411E-3</v>
      </c>
    </row>
    <row r="67" spans="1:17">
      <c r="A67" s="6">
        <v>-1</v>
      </c>
      <c r="B67" s="6">
        <f t="shared" si="2"/>
        <v>-1.5707963267948966</v>
      </c>
      <c r="C67" s="13">
        <f>DEGREES(B67)</f>
        <v>-90</v>
      </c>
      <c r="D67" s="13">
        <f t="shared" si="6"/>
        <v>270</v>
      </c>
      <c r="O67" s="12">
        <v>1.0052859999999999</v>
      </c>
      <c r="P67" s="9">
        <f t="shared" si="4"/>
        <v>1.0089616272002813</v>
      </c>
      <c r="Q67">
        <f t="shared" si="5"/>
        <v>3.6756272002813617E-3</v>
      </c>
    </row>
    <row r="68" spans="1:17">
      <c r="A68" s="6"/>
      <c r="B68" s="6"/>
      <c r="C68" s="6"/>
      <c r="D68" s="6"/>
      <c r="O68" s="11">
        <v>1.0028710000000001</v>
      </c>
      <c r="P68" s="9">
        <f t="shared" si="4"/>
        <v>1.001393933006647</v>
      </c>
      <c r="Q68">
        <f t="shared" si="5"/>
        <v>1.4770669933530378E-3</v>
      </c>
    </row>
    <row r="69" spans="1:17">
      <c r="A69" s="6"/>
      <c r="B69" s="6"/>
      <c r="C69" s="6"/>
      <c r="D69" s="6"/>
      <c r="O69" s="12">
        <v>1.0125</v>
      </c>
      <c r="P69" s="9">
        <f t="shared" si="4"/>
        <v>1.0089616272002813</v>
      </c>
      <c r="Q69">
        <f t="shared" si="5"/>
        <v>3.538372799718692E-3</v>
      </c>
    </row>
    <row r="70" spans="1:17">
      <c r="A70" s="6"/>
      <c r="B70" s="6"/>
      <c r="C70" s="6"/>
      <c r="D70" s="6"/>
      <c r="O70" s="11">
        <v>1.0380370000000001</v>
      </c>
      <c r="P70" s="9">
        <f t="shared" si="4"/>
        <v>1.0314347692225478</v>
      </c>
      <c r="Q70">
        <f t="shared" si="5"/>
        <v>6.6022307774522559E-3</v>
      </c>
    </row>
    <row r="71" spans="1:17">
      <c r="A71" s="6"/>
      <c r="B71" s="6"/>
      <c r="C71" s="6"/>
      <c r="D71" s="6"/>
      <c r="O71" s="12">
        <v>1.07924</v>
      </c>
      <c r="P71" s="9">
        <f t="shared" si="4"/>
        <v>1.0681305240250591</v>
      </c>
      <c r="Q71">
        <f t="shared" si="5"/>
        <v>1.110947597494083E-2</v>
      </c>
    </row>
    <row r="72" spans="1:17">
      <c r="A72" s="6"/>
      <c r="B72" s="6"/>
      <c r="C72" s="6"/>
      <c r="D72" s="6"/>
      <c r="O72" s="11">
        <v>1.132118</v>
      </c>
      <c r="P72" s="9">
        <f t="shared" si="4"/>
        <v>1.1179339096670886</v>
      </c>
      <c r="Q72">
        <f t="shared" si="5"/>
        <v>1.4184090332911348E-2</v>
      </c>
    </row>
    <row r="73" spans="1:17">
      <c r="A73" s="6"/>
      <c r="B73" s="6"/>
      <c r="C73" s="6"/>
      <c r="D73" s="6"/>
      <c r="O73" s="12">
        <v>1.1960729999999999</v>
      </c>
      <c r="P73" s="9">
        <f t="shared" si="4"/>
        <v>1.1793316754776324</v>
      </c>
      <c r="Q73">
        <f t="shared" si="5"/>
        <v>1.674132452236754E-2</v>
      </c>
    </row>
    <row r="74" spans="1:17">
      <c r="A74" s="6"/>
      <c r="B74" s="6"/>
      <c r="C74" s="6"/>
      <c r="D74" s="6"/>
      <c r="O74" s="11">
        <v>1.2684340000000001</v>
      </c>
      <c r="P74" s="9">
        <f t="shared" si="4"/>
        <v>1.2504582814113057</v>
      </c>
      <c r="Q74">
        <f t="shared" si="5"/>
        <v>1.79757185886944E-2</v>
      </c>
    </row>
    <row r="75" spans="1:17">
      <c r="A75" s="6"/>
      <c r="B75" s="6"/>
      <c r="C75" s="6"/>
      <c r="D75" s="6"/>
      <c r="O75" s="12">
        <v>1.348201</v>
      </c>
      <c r="P75" s="9">
        <f t="shared" si="4"/>
        <v>1.3291525815386129</v>
      </c>
      <c r="Q75">
        <f t="shared" si="5"/>
        <v>1.9048418461387051E-2</v>
      </c>
    </row>
    <row r="76" spans="1:17">
      <c r="A76" s="6"/>
      <c r="B76" s="6"/>
      <c r="C76" s="6"/>
      <c r="D76" s="6"/>
      <c r="O76" s="11">
        <v>1.4342790000000001</v>
      </c>
      <c r="P76" s="9">
        <f t="shared" si="4"/>
        <v>1.4130234893714237</v>
      </c>
      <c r="Q76">
        <f t="shared" si="5"/>
        <v>2.1255510628576335E-2</v>
      </c>
    </row>
    <row r="77" spans="1:17">
      <c r="A77" s="6"/>
      <c r="B77" s="6"/>
      <c r="C77" s="6"/>
      <c r="D77" s="6"/>
      <c r="O77" s="12">
        <v>1.5189090000000001</v>
      </c>
      <c r="P77" s="9">
        <f t="shared" si="4"/>
        <v>1.4995226298159645</v>
      </c>
      <c r="Q77">
        <f t="shared" si="5"/>
        <v>1.9386370184035551E-2</v>
      </c>
    </row>
    <row r="78" spans="1:17">
      <c r="A78" s="6"/>
      <c r="B78" s="6"/>
      <c r="C78" s="6"/>
      <c r="D78" s="6"/>
      <c r="O78" s="11">
        <v>1.6050199999999999</v>
      </c>
      <c r="P78" s="9">
        <f t="shared" si="4"/>
        <v>1.5860217702605051</v>
      </c>
      <c r="Q78">
        <f t="shared" si="5"/>
        <v>1.8998229739494832E-2</v>
      </c>
    </row>
    <row r="79" spans="1:17">
      <c r="A79" s="6"/>
      <c r="B79" s="6"/>
      <c r="C79" s="6"/>
      <c r="D79" s="6"/>
      <c r="O79" s="12">
        <v>1.6916629999999999</v>
      </c>
      <c r="P79" s="9">
        <f t="shared" si="4"/>
        <v>1.6698926780933157</v>
      </c>
      <c r="Q79">
        <f t="shared" si="5"/>
        <v>2.1770321906684265E-2</v>
      </c>
    </row>
    <row r="80" spans="1:17">
      <c r="A80" s="6"/>
      <c r="B80" s="6"/>
      <c r="C80" s="6"/>
      <c r="D80" s="6"/>
      <c r="O80" s="11">
        <v>1.7673239999999999</v>
      </c>
      <c r="P80" s="9">
        <f t="shared" si="4"/>
        <v>1.7485869782206234</v>
      </c>
      <c r="Q80">
        <f t="shared" si="5"/>
        <v>1.8737021779376528E-2</v>
      </c>
    </row>
    <row r="81" spans="1:17">
      <c r="A81" s="6"/>
      <c r="B81" s="6"/>
      <c r="C81" s="6"/>
      <c r="D81" s="6"/>
      <c r="O81" s="12">
        <v>1.8363989999999999</v>
      </c>
      <c r="P81" s="9">
        <f t="shared" si="4"/>
        <v>1.8197135841542966</v>
      </c>
      <c r="Q81">
        <f t="shared" si="5"/>
        <v>1.6685415845703266E-2</v>
      </c>
    </row>
    <row r="82" spans="1:17">
      <c r="A82" s="6"/>
      <c r="B82" s="6"/>
      <c r="C82" s="6"/>
      <c r="D82" s="6"/>
      <c r="O82" s="11">
        <v>1.8971990000000001</v>
      </c>
      <c r="P82" s="9">
        <f t="shared" si="4"/>
        <v>1.8811113499648402</v>
      </c>
      <c r="Q82">
        <f t="shared" si="5"/>
        <v>1.6087650035159884E-2</v>
      </c>
    </row>
    <row r="83" spans="1:17">
      <c r="A83" s="6"/>
      <c r="B83" s="6"/>
      <c r="C83" s="6"/>
      <c r="D83" s="6"/>
      <c r="O83" s="12">
        <v>1.944747</v>
      </c>
      <c r="P83" s="9">
        <f t="shared" si="4"/>
        <v>1.9309147356068697</v>
      </c>
      <c r="Q83">
        <f t="shared" si="5"/>
        <v>1.3832264393130345E-2</v>
      </c>
    </row>
    <row r="84" spans="1:17">
      <c r="A84" s="6"/>
      <c r="B84" s="6"/>
      <c r="C84" s="6"/>
      <c r="D84" s="6"/>
      <c r="O84" s="11">
        <v>1.9747920000000001</v>
      </c>
      <c r="P84" s="9">
        <f t="shared" si="4"/>
        <v>1.9676104904093812</v>
      </c>
      <c r="Q84">
        <f t="shared" si="5"/>
        <v>7.1815095906189175E-3</v>
      </c>
    </row>
    <row r="85" spans="1:17">
      <c r="A85" s="6"/>
      <c r="B85" s="6"/>
      <c r="C85" s="6"/>
      <c r="D85" s="6"/>
      <c r="O85" s="12">
        <v>1.9944519999999999</v>
      </c>
      <c r="P85" s="9">
        <f t="shared" si="4"/>
        <v>1.9900836324316478</v>
      </c>
      <c r="Q85">
        <f t="shared" si="5"/>
        <v>4.3683675683521273E-3</v>
      </c>
    </row>
    <row r="86" spans="1:17">
      <c r="A86" s="6"/>
      <c r="B86" s="6"/>
      <c r="C86" s="6"/>
      <c r="D86" s="6"/>
      <c r="O86" s="11">
        <v>1.997447</v>
      </c>
      <c r="P86" s="9">
        <f t="shared" si="4"/>
        <v>1.997651326625282</v>
      </c>
      <c r="Q86">
        <f t="shared" si="5"/>
        <v>2.0432662528202528E-4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8B1B2-6426-4FD1-A37D-51C93541B8BD}">
  <dimension ref="A1:U86"/>
  <sheetViews>
    <sheetView workbookViewId="0">
      <selection activeCell="E44" sqref="E44"/>
    </sheetView>
  </sheetViews>
  <sheetFormatPr baseColWidth="10" defaultRowHeight="14.25"/>
  <sheetData>
    <row r="1" spans="1:19">
      <c r="A1" s="6" t="s">
        <v>10</v>
      </c>
      <c r="B1" s="6" t="s">
        <v>0</v>
      </c>
      <c r="C1" s="6" t="s">
        <v>11</v>
      </c>
      <c r="D1" s="6" t="s">
        <v>14</v>
      </c>
    </row>
    <row r="2" spans="1:19">
      <c r="A2" s="10">
        <v>90</v>
      </c>
      <c r="B2" s="10">
        <v>1.4773829999999999</v>
      </c>
      <c r="C2" s="6">
        <f>Tableau134[[#This Row],[Angle \ deg ]]*PI()/180</f>
        <v>1.5707963267948966</v>
      </c>
      <c r="D2" s="6">
        <f>COS(Tableau134[[#This Row],[Colonne1]])</f>
        <v>6.1257422745431001E-17</v>
      </c>
    </row>
    <row r="3" spans="1:19">
      <c r="A3" s="10">
        <v>64</v>
      </c>
      <c r="B3" s="10">
        <v>1.6967019999999999</v>
      </c>
      <c r="C3" s="6">
        <f>Tableau134[[#This Row],[Angle \ deg ]]*PI()/180</f>
        <v>1.1170107212763709</v>
      </c>
      <c r="D3" s="6">
        <f>COS(Tableau134[[#This Row],[Colonne1]])</f>
        <v>0.43837114678907746</v>
      </c>
    </row>
    <row r="4" spans="1:19">
      <c r="A4" s="10">
        <v>44</v>
      </c>
      <c r="B4" s="10">
        <v>1.842808</v>
      </c>
      <c r="C4" s="6">
        <f>Tableau134[[#This Row],[Angle \ deg ]]*PI()/180</f>
        <v>0.76794487087750496</v>
      </c>
      <c r="D4" s="6">
        <f>COS(Tableau134[[#This Row],[Colonne1]])</f>
        <v>0.71933980033865119</v>
      </c>
    </row>
    <row r="5" spans="1:19">
      <c r="A5" s="10">
        <v>37</v>
      </c>
      <c r="B5" s="10">
        <v>1.884334</v>
      </c>
      <c r="C5" s="6">
        <f>Tableau134[[#This Row],[Angle \ deg ]]*PI()/180</f>
        <v>0.64577182323790194</v>
      </c>
      <c r="D5" s="6">
        <f>COS(Tableau134[[#This Row],[Colonne1]])</f>
        <v>0.79863551004729283</v>
      </c>
    </row>
    <row r="6" spans="1:19">
      <c r="A6" s="10">
        <v>30</v>
      </c>
      <c r="B6" s="10">
        <v>1.91995</v>
      </c>
      <c r="C6" s="6">
        <f>Tableau134[[#This Row],[Angle \ deg ]]*PI()/180</f>
        <v>0.52359877559829882</v>
      </c>
      <c r="D6" s="6">
        <f>COS(Tableau134[[#This Row],[Colonne1]])</f>
        <v>0.86602540378443871</v>
      </c>
    </row>
    <row r="7" spans="1:19">
      <c r="A7" s="10">
        <v>24</v>
      </c>
      <c r="B7" s="10">
        <v>1.946035</v>
      </c>
      <c r="C7" s="6">
        <f>Tableau134[[#This Row],[Angle \ deg ]]*PI()/180</f>
        <v>0.41887902047863906</v>
      </c>
      <c r="D7" s="6">
        <f>COS(Tableau134[[#This Row],[Colonne1]])</f>
        <v>0.91354545764260087</v>
      </c>
      <c r="O7" s="1">
        <v>40</v>
      </c>
      <c r="P7" s="11">
        <v>1.8658170000000001</v>
      </c>
    </row>
    <row r="8" spans="1:19">
      <c r="A8" s="10">
        <v>17</v>
      </c>
      <c r="B8" s="10">
        <v>1.970783</v>
      </c>
      <c r="C8" s="6">
        <f>Tableau134[[#This Row],[Angle \ deg ]]*PI()/180</f>
        <v>0.29670597283903605</v>
      </c>
      <c r="D8" s="6">
        <f>COS(Tableau134[[#This Row],[Colonne1]])</f>
        <v>0.95630475596303544</v>
      </c>
      <c r="O8" s="3">
        <v>50</v>
      </c>
      <c r="P8" s="12">
        <v>1.8012980000000001</v>
      </c>
    </row>
    <row r="9" spans="1:19">
      <c r="A9" s="10">
        <v>12</v>
      </c>
      <c r="B9" s="10">
        <v>1.982553</v>
      </c>
      <c r="C9" s="6">
        <f>Tableau134[[#This Row],[Angle \ deg ]]*PI()/180</f>
        <v>0.20943951023931953</v>
      </c>
      <c r="D9" s="6">
        <f>COS(Tableau134[[#This Row],[Colonne1]])</f>
        <v>0.97814760073380569</v>
      </c>
      <c r="O9" s="1">
        <v>60</v>
      </c>
      <c r="P9" s="11">
        <v>1.7303869999999999</v>
      </c>
      <c r="R9" s="5" t="s">
        <v>1</v>
      </c>
      <c r="S9" s="5" t="s">
        <v>2</v>
      </c>
    </row>
    <row r="10" spans="1:19">
      <c r="A10" s="10">
        <v>6</v>
      </c>
      <c r="B10" s="10">
        <v>1.992971</v>
      </c>
      <c r="C10" s="6">
        <f>Tableau134[[#This Row],[Angle \ deg ]]*PI()/180</f>
        <v>0.10471975511965977</v>
      </c>
      <c r="D10" s="6">
        <f>COS(Tableau134[[#This Row],[Colonne1]])</f>
        <v>0.99452189536827329</v>
      </c>
      <c r="O10" s="3">
        <v>70</v>
      </c>
      <c r="P10" s="12">
        <v>1.650072</v>
      </c>
      <c r="R10" s="6">
        <f t="array" ref="R10:S11">LINEST(P7:P17,O7:O17,1,1)</f>
        <v>-7.9205081818181818E-3</v>
      </c>
      <c r="S10" s="6">
        <v>2.1941666454545454</v>
      </c>
    </row>
    <row r="11" spans="1:19">
      <c r="A11" s="10">
        <v>0</v>
      </c>
      <c r="B11" s="10">
        <v>1.9982200000000001</v>
      </c>
      <c r="C11" s="6">
        <f>Tableau134[[#This Row],[Angle \ deg ]]*PI()/180</f>
        <v>0</v>
      </c>
      <c r="D11" s="6">
        <f>COS(Tableau134[[#This Row],[Colonne1]])</f>
        <v>1</v>
      </c>
      <c r="O11" s="1">
        <v>80</v>
      </c>
      <c r="P11" s="11">
        <v>1.565024</v>
      </c>
      <c r="R11" s="6">
        <v>1.0256551688686574E-4</v>
      </c>
      <c r="S11" s="6">
        <v>9.7841267271972961E-3</v>
      </c>
    </row>
    <row r="12" spans="1:19">
      <c r="A12" s="10">
        <v>354</v>
      </c>
      <c r="B12" s="10">
        <v>1.9968030000000001</v>
      </c>
      <c r="C12" s="6">
        <f>Tableau134[[#This Row],[Angle \ deg ]]*PI()/180</f>
        <v>6.1784655520599268</v>
      </c>
      <c r="D12" s="6">
        <f>COS(Tableau134[[#This Row],[Colonne1]])</f>
        <v>0.99452189536827329</v>
      </c>
      <c r="O12" s="3">
        <v>90</v>
      </c>
      <c r="P12" s="12">
        <v>1.4802010000000001</v>
      </c>
      <c r="R12" s="5" t="s">
        <v>3</v>
      </c>
      <c r="S12" s="5" t="s">
        <v>4</v>
      </c>
    </row>
    <row r="13" spans="1:19">
      <c r="A13" s="10">
        <v>348</v>
      </c>
      <c r="B13" s="10">
        <v>1.9936309999999999</v>
      </c>
      <c r="C13" s="6">
        <f>Tableau134[[#This Row],[Angle \ deg ]]*PI()/180</f>
        <v>6.0737457969402664</v>
      </c>
      <c r="D13" s="6">
        <f>COS(Tableau134[[#This Row],[Colonne1]])</f>
        <v>0.97814760073380558</v>
      </c>
      <c r="O13" s="1">
        <v>100</v>
      </c>
      <c r="P13" s="11">
        <v>1.392174</v>
      </c>
    </row>
    <row r="14" spans="1:19">
      <c r="A14" s="10">
        <v>343</v>
      </c>
      <c r="B14" s="10">
        <v>1.9824889999999999</v>
      </c>
      <c r="C14" s="6">
        <f>Tableau134[[#This Row],[Angle \ deg ]]*PI()/180</f>
        <v>5.9864793343405509</v>
      </c>
      <c r="D14" s="6">
        <f>COS(Tableau134[[#This Row],[Colonne1]])</f>
        <v>0.95630475596303566</v>
      </c>
      <c r="O14" s="3">
        <v>110</v>
      </c>
      <c r="P14" s="12">
        <v>1.3101689999999999</v>
      </c>
    </row>
    <row r="15" spans="1:19">
      <c r="A15" s="10">
        <v>336</v>
      </c>
      <c r="B15" s="10">
        <v>1.9643900000000001</v>
      </c>
      <c r="C15" s="6">
        <f>Tableau134[[#This Row],[Angle \ deg ]]*PI()/180</f>
        <v>5.8643062867009474</v>
      </c>
      <c r="D15" s="6">
        <f>COS(Tableau134[[#This Row],[Colonne1]])</f>
        <v>0.91354545764260098</v>
      </c>
      <c r="O15" s="1">
        <v>120</v>
      </c>
      <c r="P15" s="11">
        <v>1.234202</v>
      </c>
    </row>
    <row r="16" spans="1:19">
      <c r="A16" s="10">
        <v>330</v>
      </c>
      <c r="B16" s="10">
        <v>1.942042</v>
      </c>
      <c r="C16" s="6">
        <f>Tableau134[[#This Row],[Angle \ deg ]]*PI()/180</f>
        <v>5.7595865315812871</v>
      </c>
      <c r="D16" s="6">
        <f>COS(Tableau134[[#This Row],[Colonne1]])</f>
        <v>0.86602540378443837</v>
      </c>
      <c r="O16" s="3">
        <v>130</v>
      </c>
      <c r="P16" s="12">
        <v>1.163001</v>
      </c>
    </row>
    <row r="17" spans="1:21">
      <c r="A17" s="10">
        <v>323</v>
      </c>
      <c r="B17" s="10">
        <v>1.912077</v>
      </c>
      <c r="C17" s="6">
        <f>Tableau134[[#This Row],[Angle \ deg ]]*PI()/180</f>
        <v>5.6374134839416845</v>
      </c>
      <c r="D17" s="6">
        <f>COS(Tableau134[[#This Row],[Colonne1]])</f>
        <v>0.79863551004729283</v>
      </c>
      <c r="O17" s="1">
        <v>140</v>
      </c>
      <c r="P17" s="11">
        <v>1.102185</v>
      </c>
    </row>
    <row r="18" spans="1:21">
      <c r="A18" s="10">
        <v>316</v>
      </c>
      <c r="B18" s="10">
        <v>1.870261</v>
      </c>
      <c r="C18" s="6">
        <f>Tableau134[[#This Row],[Angle \ deg ]]*PI()/180</f>
        <v>5.5152404363020811</v>
      </c>
      <c r="D18" s="6">
        <f>COS(Tableau134[[#This Row],[Colonne1]])</f>
        <v>0.71933980033865086</v>
      </c>
    </row>
    <row r="19" spans="1:21">
      <c r="A19" s="10">
        <v>307</v>
      </c>
      <c r="B19" s="10">
        <v>1.8162560000000001</v>
      </c>
      <c r="C19" s="6">
        <f>Tableau134[[#This Row],[Angle \ deg ]]*PI()/180</f>
        <v>5.3581608036225914</v>
      </c>
      <c r="D19" s="6">
        <f>COS(Tableau134[[#This Row],[Colonne1]])</f>
        <v>0.60181502315204793</v>
      </c>
    </row>
    <row r="20" spans="1:21">
      <c r="A20" s="10">
        <v>296</v>
      </c>
      <c r="B20" s="10">
        <v>1.737954</v>
      </c>
      <c r="C20" s="6">
        <f>Tableau134[[#This Row],[Angle \ deg ]]*PI()/180</f>
        <v>5.1661745859032155</v>
      </c>
      <c r="D20" s="6">
        <f>COS(Tableau134[[#This Row],[Colonne1]])</f>
        <v>0.4383711467890774</v>
      </c>
    </row>
    <row r="21" spans="1:21">
      <c r="A21" s="10">
        <v>270</v>
      </c>
      <c r="B21" s="10">
        <v>1.520761</v>
      </c>
      <c r="C21" s="6">
        <f>Tableau134[[#This Row],[Angle \ deg ]]*PI()/180</f>
        <v>4.7123889803846897</v>
      </c>
      <c r="D21" s="6">
        <f>COS(Tableau134[[#This Row],[Colonne1]])</f>
        <v>-1.83772268236293E-16</v>
      </c>
    </row>
    <row r="22" spans="1:21">
      <c r="A22" s="10">
        <v>0</v>
      </c>
      <c r="B22" s="10">
        <v>1.9952570000000001</v>
      </c>
      <c r="C22" s="6">
        <f>Tableau134[[#This Row],[Angle \ deg ]]*PI()/180</f>
        <v>0</v>
      </c>
      <c r="D22" s="6">
        <f>COS(Tableau134[[#This Row],[Colonne1]])</f>
        <v>1</v>
      </c>
    </row>
    <row r="23" spans="1:21">
      <c r="A23" s="10">
        <v>0</v>
      </c>
      <c r="B23" s="10">
        <v>1.9959979999999999</v>
      </c>
      <c r="C23" s="6">
        <f>Tableau134[[#This Row],[Angle \ deg ]]*PI()/180</f>
        <v>0</v>
      </c>
      <c r="D23" s="6">
        <f>COS(Tableau134[[#This Row],[Colonne1]])</f>
        <v>1</v>
      </c>
      <c r="R23" s="5" t="s">
        <v>7</v>
      </c>
    </row>
    <row r="24" spans="1:21">
      <c r="A24" s="10">
        <v>0</v>
      </c>
      <c r="B24" s="10">
        <v>1.9972220000000001</v>
      </c>
      <c r="C24" s="6">
        <f>Tableau134[[#This Row],[Angle \ deg ]]*PI()/180</f>
        <v>0</v>
      </c>
      <c r="D24" s="6">
        <f>COS(Tableau134[[#This Row],[Colonne1]])</f>
        <v>1</v>
      </c>
      <c r="O24" t="s">
        <v>5</v>
      </c>
      <c r="R24" s="6">
        <f>MAX(U25:U35)</f>
        <v>1.6230999999999662E-2</v>
      </c>
      <c r="U24" t="s">
        <v>6</v>
      </c>
    </row>
    <row r="25" spans="1:21">
      <c r="A25" s="10">
        <v>0</v>
      </c>
      <c r="B25" s="10">
        <v>1.9981070000000001</v>
      </c>
      <c r="C25" s="6">
        <f>Tableau134[[#This Row],[Angle \ deg ]]*PI()/180</f>
        <v>0</v>
      </c>
      <c r="D25" s="6">
        <f>COS(Tableau134[[#This Row],[Colonne1]])</f>
        <v>1</v>
      </c>
      <c r="O25" s="1">
        <v>40</v>
      </c>
      <c r="P25" s="2">
        <f>-0.0079*O25+2.1954</f>
        <v>1.8793999999999997</v>
      </c>
      <c r="R25" s="5" t="s">
        <v>8</v>
      </c>
      <c r="T25" s="1">
        <v>40</v>
      </c>
      <c r="U25">
        <f t="shared" ref="U25:U35" si="0">ABS(P7-P25)</f>
        <v>1.3582999999999679E-2</v>
      </c>
    </row>
    <row r="26" spans="1:21">
      <c r="A26" s="10">
        <v>0</v>
      </c>
      <c r="B26" s="10">
        <v>1.9982679999999999</v>
      </c>
      <c r="C26" s="6">
        <f>Tableau134[[#This Row],[Angle \ deg ]]*PI()/180</f>
        <v>0</v>
      </c>
      <c r="D26" s="6">
        <f>COS(Tableau134[[#This Row],[Colonne1]])</f>
        <v>1</v>
      </c>
      <c r="O26" s="3">
        <v>50</v>
      </c>
      <c r="P26" s="2">
        <f t="shared" ref="P26:P35" si="1">-0.0079*O26+2.1954</f>
        <v>1.8003999999999998</v>
      </c>
      <c r="R26" s="6">
        <f>P7-P17</f>
        <v>0.76363200000000009</v>
      </c>
      <c r="T26" s="3">
        <v>50</v>
      </c>
      <c r="U26">
        <f t="shared" si="0"/>
        <v>8.9800000000028746E-4</v>
      </c>
    </row>
    <row r="27" spans="1:21">
      <c r="A27" s="10">
        <v>0</v>
      </c>
      <c r="B27" s="10">
        <v>2.0017299999999998</v>
      </c>
      <c r="C27" s="6">
        <f>Tableau134[[#This Row],[Angle \ deg ]]*PI()/180</f>
        <v>0</v>
      </c>
      <c r="D27" s="6">
        <f>COS(Tableau134[[#This Row],[Colonne1]])</f>
        <v>1</v>
      </c>
      <c r="O27" s="1">
        <v>60</v>
      </c>
      <c r="P27" s="2">
        <f t="shared" si="1"/>
        <v>1.7213999999999998</v>
      </c>
      <c r="R27" s="6"/>
      <c r="T27" s="1">
        <v>60</v>
      </c>
      <c r="U27">
        <f t="shared" si="0"/>
        <v>8.9870000000000783E-3</v>
      </c>
    </row>
    <row r="28" spans="1:21">
      <c r="A28" s="10">
        <v>0</v>
      </c>
      <c r="B28" s="10">
        <v>1.9983329999999999</v>
      </c>
      <c r="C28" s="6">
        <f>Tableau134[[#This Row],[Angle \ deg ]]*PI()/180</f>
        <v>0</v>
      </c>
      <c r="D28" s="6">
        <f>COS(Tableau134[[#This Row],[Colonne1]])</f>
        <v>1</v>
      </c>
      <c r="O28" s="3">
        <v>70</v>
      </c>
      <c r="P28" s="2">
        <f t="shared" si="1"/>
        <v>1.6423999999999999</v>
      </c>
      <c r="R28" s="5" t="s">
        <v>9</v>
      </c>
      <c r="T28" s="3">
        <v>70</v>
      </c>
      <c r="U28">
        <f t="shared" si="0"/>
        <v>7.6720000000001232E-3</v>
      </c>
    </row>
    <row r="29" spans="1:21">
      <c r="A29" s="10">
        <v>0</v>
      </c>
      <c r="B29" s="10">
        <v>1.999411</v>
      </c>
      <c r="C29" s="6">
        <f>Tableau134[[#This Row],[Angle \ deg ]]*PI()/180</f>
        <v>0</v>
      </c>
      <c r="D29" s="6">
        <f>COS(Tableau134[[#This Row],[Colonne1]])</f>
        <v>1</v>
      </c>
      <c r="O29" s="1">
        <v>80</v>
      </c>
      <c r="P29" s="2">
        <f t="shared" si="1"/>
        <v>1.5633999999999997</v>
      </c>
      <c r="R29" s="6">
        <f>(R24/R26)*100</f>
        <v>2.1255002409537136</v>
      </c>
      <c r="T29" s="1">
        <v>80</v>
      </c>
      <c r="U29">
        <f t="shared" si="0"/>
        <v>1.6240000000002919E-3</v>
      </c>
    </row>
    <row r="30" spans="1:21">
      <c r="A30" s="10">
        <v>0</v>
      </c>
      <c r="B30" s="10">
        <v>1.9990410000000001</v>
      </c>
      <c r="C30" s="6">
        <f>Tableau134[[#This Row],[Angle \ deg ]]*PI()/180</f>
        <v>0</v>
      </c>
      <c r="D30" s="6">
        <f>COS(Tableau134[[#This Row],[Colonne1]])</f>
        <v>1</v>
      </c>
      <c r="O30" s="3">
        <v>90</v>
      </c>
      <c r="P30" s="2">
        <f t="shared" si="1"/>
        <v>1.4843999999999997</v>
      </c>
      <c r="T30" s="3">
        <v>90</v>
      </c>
      <c r="U30">
        <f t="shared" si="0"/>
        <v>4.1989999999996197E-3</v>
      </c>
    </row>
    <row r="31" spans="1:21">
      <c r="A31" s="10">
        <v>0</v>
      </c>
      <c r="B31" s="10">
        <v>1.9950479999999999</v>
      </c>
      <c r="C31" s="6">
        <f>Tableau134[[#This Row],[Angle \ deg ]]*PI()/180</f>
        <v>0</v>
      </c>
      <c r="D31" s="6">
        <f>COS(Tableau134[[#This Row],[Colonne1]])</f>
        <v>1</v>
      </c>
      <c r="O31" s="1">
        <v>100</v>
      </c>
      <c r="P31" s="2">
        <f t="shared" si="1"/>
        <v>1.4053999999999998</v>
      </c>
      <c r="T31" s="1">
        <v>100</v>
      </c>
      <c r="U31">
        <f t="shared" si="0"/>
        <v>1.3225999999999738E-2</v>
      </c>
    </row>
    <row r="32" spans="1:21">
      <c r="A32" s="10">
        <v>0</v>
      </c>
      <c r="B32" s="10">
        <v>1.998461</v>
      </c>
      <c r="C32" s="6">
        <f>Tableau134[[#This Row],[Angle \ deg ]]*PI()/180</f>
        <v>0</v>
      </c>
      <c r="D32" s="6">
        <f>COS(Tableau134[[#This Row],[Colonne1]])</f>
        <v>1</v>
      </c>
      <c r="O32" s="3">
        <v>110</v>
      </c>
      <c r="P32" s="2">
        <f t="shared" si="1"/>
        <v>1.3263999999999996</v>
      </c>
      <c r="T32" s="3">
        <v>110</v>
      </c>
      <c r="U32">
        <f t="shared" si="0"/>
        <v>1.6230999999999662E-2</v>
      </c>
    </row>
    <row r="33" spans="1:21">
      <c r="A33" s="10">
        <v>0</v>
      </c>
      <c r="B33" s="10">
        <v>1.99925</v>
      </c>
      <c r="C33" s="6">
        <f>Tableau134[[#This Row],[Angle \ deg ]]*PI()/180</f>
        <v>0</v>
      </c>
      <c r="D33" s="6">
        <f>COS(Tableau134[[#This Row],[Colonne1]])</f>
        <v>1</v>
      </c>
      <c r="O33" s="1">
        <v>120</v>
      </c>
      <c r="P33" s="2">
        <f t="shared" si="1"/>
        <v>1.2473999999999998</v>
      </c>
      <c r="T33" s="1">
        <v>120</v>
      </c>
      <c r="U33">
        <f t="shared" si="0"/>
        <v>1.3197999999999821E-2</v>
      </c>
    </row>
    <row r="34" spans="1:21">
      <c r="A34" s="10">
        <v>0</v>
      </c>
      <c r="B34" s="10">
        <v>1.997833</v>
      </c>
      <c r="C34" s="6">
        <f>Tableau134[[#This Row],[Angle \ deg ]]*PI()/180</f>
        <v>0</v>
      </c>
      <c r="D34" s="6">
        <f>COS(Tableau134[[#This Row],[Colonne1]])</f>
        <v>1</v>
      </c>
      <c r="O34" s="3">
        <v>130</v>
      </c>
      <c r="P34" s="2">
        <f t="shared" si="1"/>
        <v>1.1683999999999997</v>
      </c>
      <c r="T34" s="3">
        <v>130</v>
      </c>
      <c r="U34">
        <f t="shared" si="0"/>
        <v>5.3989999999997096E-3</v>
      </c>
    </row>
    <row r="35" spans="1:21">
      <c r="A35" s="10">
        <v>0</v>
      </c>
      <c r="B35" s="10">
        <v>1.997833</v>
      </c>
      <c r="C35" s="6">
        <f>Tableau134[[#This Row],[Angle \ deg ]]*PI()/180</f>
        <v>0</v>
      </c>
      <c r="D35" s="6">
        <f>COS(Tableau134[[#This Row],[Colonne1]])</f>
        <v>1</v>
      </c>
      <c r="O35" s="1">
        <v>140</v>
      </c>
      <c r="P35" s="2">
        <f t="shared" si="1"/>
        <v>1.0893999999999997</v>
      </c>
      <c r="T35" s="1">
        <v>140</v>
      </c>
      <c r="U35">
        <f t="shared" si="0"/>
        <v>1.2785000000000268E-2</v>
      </c>
    </row>
    <row r="36" spans="1:21">
      <c r="A36" s="10">
        <v>0</v>
      </c>
      <c r="B36" s="10">
        <v>1.9963040000000001</v>
      </c>
      <c r="C36" s="6">
        <f>Tableau134[[#This Row],[Angle \ deg ]]*PI()/180</f>
        <v>0</v>
      </c>
      <c r="D36" s="6">
        <f>COS(Tableau134[[#This Row],[Colonne1]])</f>
        <v>1</v>
      </c>
    </row>
    <row r="37" spans="1:21">
      <c r="A37" s="10">
        <v>0</v>
      </c>
      <c r="B37" s="10">
        <v>1.9955149999999999</v>
      </c>
      <c r="C37" s="6">
        <f>Tableau134[[#This Row],[Angle \ deg ]]*PI()/180</f>
        <v>0</v>
      </c>
      <c r="D37" s="6">
        <f>COS(Tableau134[[#This Row],[Colonne1]])</f>
        <v>1</v>
      </c>
    </row>
    <row r="38" spans="1:21">
      <c r="A38" s="10">
        <v>0</v>
      </c>
      <c r="B38" s="10">
        <v>1.998059</v>
      </c>
      <c r="C38" s="6">
        <f>Tableau134[[#This Row],[Angle \ deg ]]*PI()/180</f>
        <v>0</v>
      </c>
      <c r="D38" s="6">
        <f>COS(Tableau134[[#This Row],[Colonne1]])</f>
        <v>1</v>
      </c>
    </row>
    <row r="39" spans="1:21">
      <c r="A39" s="6"/>
      <c r="B39" s="6"/>
      <c r="C39" s="6"/>
      <c r="D39" s="6"/>
      <c r="O39" t="s">
        <v>13</v>
      </c>
      <c r="P39" t="s">
        <v>12</v>
      </c>
    </row>
    <row r="40" spans="1:21">
      <c r="A40" s="6"/>
      <c r="B40" s="6"/>
      <c r="C40" s="6"/>
      <c r="D40" s="6"/>
      <c r="O40">
        <f t="array" ref="O40:P41">LINEST(B2:B38,D2:D38,1,1)</f>
        <v>0.49724491585230579</v>
      </c>
      <c r="P40">
        <v>1.5008715718289276</v>
      </c>
    </row>
    <row r="41" spans="1:21">
      <c r="A41" s="6"/>
      <c r="B41" s="6"/>
      <c r="C41" s="6"/>
      <c r="D41" s="6"/>
      <c r="O41">
        <v>6.4093779137148667E-3</v>
      </c>
      <c r="P41">
        <v>5.766218348114663E-3</v>
      </c>
    </row>
    <row r="42" spans="1:21">
      <c r="A42" s="6"/>
      <c r="B42" s="6"/>
      <c r="C42" s="6"/>
      <c r="D42" s="6"/>
      <c r="O42" t="s">
        <v>15</v>
      </c>
      <c r="P42" t="s">
        <v>16</v>
      </c>
    </row>
    <row r="43" spans="1:21">
      <c r="A43" s="6"/>
      <c r="B43" s="6"/>
      <c r="C43" s="6"/>
      <c r="D43" s="6"/>
    </row>
    <row r="44" spans="1:21">
      <c r="A44" s="6"/>
      <c r="B44" s="6"/>
      <c r="C44" s="6"/>
      <c r="D44" s="6"/>
    </row>
    <row r="45" spans="1:21">
      <c r="A45" s="6"/>
      <c r="B45" s="6"/>
      <c r="C45" s="6"/>
      <c r="D45" s="6"/>
    </row>
    <row r="46" spans="1:21">
      <c r="A46" s="6" t="s">
        <v>22</v>
      </c>
      <c r="B46" s="6" t="s">
        <v>23</v>
      </c>
      <c r="C46" s="6" t="s">
        <v>24</v>
      </c>
      <c r="D46" s="6"/>
    </row>
    <row r="47" spans="1:21">
      <c r="A47" s="6">
        <v>1</v>
      </c>
      <c r="B47" s="6">
        <f>ASIN(A47)</f>
        <v>1.5707963267948966</v>
      </c>
      <c r="C47" s="13">
        <f>DEGREES(B47)</f>
        <v>90</v>
      </c>
      <c r="D47" s="6"/>
    </row>
    <row r="48" spans="1:21">
      <c r="A48" s="6">
        <v>0.9</v>
      </c>
      <c r="B48" s="6">
        <f t="shared" ref="B48:B67" si="2">ASIN(A48)</f>
        <v>1.1197695149986342</v>
      </c>
      <c r="C48" s="13">
        <f t="shared" ref="C48:C67" si="3">DEGREES(B48)</f>
        <v>64.158067236832878</v>
      </c>
      <c r="D48" s="6"/>
    </row>
    <row r="49" spans="1:18">
      <c r="A49" s="6">
        <v>0.8</v>
      </c>
      <c r="B49" s="6">
        <f t="shared" si="2"/>
        <v>0.9272952180016123</v>
      </c>
      <c r="C49" s="13">
        <f t="shared" si="3"/>
        <v>53.130102354155987</v>
      </c>
      <c r="D49" s="6"/>
      <c r="O49" t="s">
        <v>19</v>
      </c>
      <c r="P49" t="s">
        <v>18</v>
      </c>
      <c r="Q49" t="s">
        <v>20</v>
      </c>
      <c r="R49" t="s">
        <v>21</v>
      </c>
    </row>
    <row r="50" spans="1:18">
      <c r="A50" s="6">
        <v>0.7</v>
      </c>
      <c r="B50" s="6">
        <f t="shared" si="2"/>
        <v>0.77539749661075308</v>
      </c>
      <c r="C50" s="13">
        <f t="shared" si="3"/>
        <v>44.427004000805709</v>
      </c>
      <c r="D50" s="6"/>
      <c r="O50" s="11">
        <v>1.9992179999999999</v>
      </c>
      <c r="P50" s="9">
        <f xml:space="preserve"> $O$40*D2+ $P$40</f>
        <v>1.5008715718289276</v>
      </c>
      <c r="Q50">
        <f>ABS(O50-P50)</f>
        <v>0.49834642817107233</v>
      </c>
      <c r="R50">
        <f>MAX(Q50:Q86)</f>
        <v>0.9600794876812333</v>
      </c>
    </row>
    <row r="51" spans="1:18">
      <c r="A51" s="6">
        <v>0.6</v>
      </c>
      <c r="B51" s="6">
        <f t="shared" si="2"/>
        <v>0.64350110879328437</v>
      </c>
      <c r="C51" s="13">
        <f t="shared" si="3"/>
        <v>36.86989764584402</v>
      </c>
      <c r="D51" s="6"/>
      <c r="O51" s="12">
        <v>1.9841310000000001</v>
      </c>
      <c r="P51" s="9">
        <f t="shared" ref="P51:P86" si="4" xml:space="preserve"> $O$40*D3+ $P$40</f>
        <v>1.7188493958261413</v>
      </c>
      <c r="Q51">
        <f t="shared" ref="Q51:Q86" si="5">ABS(O51-P51)</f>
        <v>0.26528160417385882</v>
      </c>
    </row>
    <row r="52" spans="1:18">
      <c r="A52" s="6">
        <v>0.5</v>
      </c>
      <c r="B52" s="6">
        <f t="shared" si="2"/>
        <v>0.52359877559829893</v>
      </c>
      <c r="C52" s="13">
        <f t="shared" si="3"/>
        <v>30.000000000000004</v>
      </c>
      <c r="D52" s="6"/>
      <c r="O52" s="11">
        <v>1.9580789999999999</v>
      </c>
      <c r="P52" s="9">
        <f t="shared" si="4"/>
        <v>1.8585596303175347</v>
      </c>
      <c r="Q52">
        <f t="shared" si="5"/>
        <v>9.951936968246522E-2</v>
      </c>
    </row>
    <row r="53" spans="1:18">
      <c r="A53" s="6">
        <v>0.4</v>
      </c>
      <c r="B53" s="6">
        <f t="shared" si="2"/>
        <v>0.41151684606748801</v>
      </c>
      <c r="C53" s="13">
        <f t="shared" si="3"/>
        <v>23.578178478201831</v>
      </c>
      <c r="D53" s="6"/>
      <c r="O53" s="12">
        <v>1.9194830000000001</v>
      </c>
      <c r="P53" s="9">
        <f t="shared" si="4"/>
        <v>1.8979890188190571</v>
      </c>
      <c r="Q53">
        <f t="shared" si="5"/>
        <v>2.1493981180942923E-2</v>
      </c>
    </row>
    <row r="54" spans="1:18">
      <c r="A54" s="6">
        <v>0.3</v>
      </c>
      <c r="B54" s="6">
        <f t="shared" si="2"/>
        <v>0.30469265401539752</v>
      </c>
      <c r="C54" s="13">
        <f t="shared" si="3"/>
        <v>17.457603123722095</v>
      </c>
      <c r="D54" s="6"/>
      <c r="O54" s="11">
        <v>1.8658170000000001</v>
      </c>
      <c r="P54" s="9">
        <f t="shared" si="4"/>
        <v>1.93149830085968</v>
      </c>
      <c r="Q54">
        <f t="shared" si="5"/>
        <v>6.5681300859679936E-2</v>
      </c>
    </row>
    <row r="55" spans="1:18">
      <c r="A55" s="6">
        <v>0.2</v>
      </c>
      <c r="B55" s="6">
        <f t="shared" si="2"/>
        <v>0.20135792079033082</v>
      </c>
      <c r="C55" s="13">
        <f t="shared" si="3"/>
        <v>11.53695903281549</v>
      </c>
      <c r="D55" s="6"/>
      <c r="O55" s="12">
        <v>1.8012980000000001</v>
      </c>
      <c r="P55" s="9">
        <f t="shared" si="4"/>
        <v>1.9551274060416788</v>
      </c>
      <c r="Q55">
        <f t="shared" si="5"/>
        <v>0.15382940604167872</v>
      </c>
    </row>
    <row r="56" spans="1:18">
      <c r="A56" s="6">
        <v>0.1</v>
      </c>
      <c r="B56" s="6">
        <f t="shared" si="2"/>
        <v>0.1001674211615598</v>
      </c>
      <c r="C56" s="13">
        <f t="shared" si="3"/>
        <v>5.7391704772667866</v>
      </c>
      <c r="D56" s="6"/>
      <c r="O56" s="11">
        <v>1.7303869999999999</v>
      </c>
      <c r="P56" s="9">
        <f t="shared" si="4"/>
        <v>1.9763892497369269</v>
      </c>
      <c r="Q56">
        <f t="shared" si="5"/>
        <v>0.24600224973692697</v>
      </c>
    </row>
    <row r="57" spans="1:18">
      <c r="A57" s="6">
        <v>0</v>
      </c>
      <c r="B57" s="6">
        <f t="shared" si="2"/>
        <v>0</v>
      </c>
      <c r="C57" s="13">
        <f t="shared" si="3"/>
        <v>0</v>
      </c>
      <c r="D57" s="6"/>
      <c r="O57" s="12">
        <v>1.650072</v>
      </c>
      <c r="P57" s="9">
        <f t="shared" si="4"/>
        <v>1.9872504932469437</v>
      </c>
      <c r="Q57">
        <f t="shared" si="5"/>
        <v>0.33717849324694371</v>
      </c>
    </row>
    <row r="58" spans="1:18">
      <c r="A58" s="6">
        <v>-0.1</v>
      </c>
      <c r="B58" s="6">
        <f t="shared" si="2"/>
        <v>-0.1001674211615598</v>
      </c>
      <c r="C58" s="13">
        <f t="shared" si="3"/>
        <v>-5.7391704772667866</v>
      </c>
      <c r="D58" s="13">
        <f>360+C58</f>
        <v>354.26082952273322</v>
      </c>
      <c r="O58" s="11">
        <v>1.565024</v>
      </c>
      <c r="P58" s="9">
        <f t="shared" si="4"/>
        <v>1.9953925280046003</v>
      </c>
      <c r="Q58">
        <f t="shared" si="5"/>
        <v>0.43036852800460035</v>
      </c>
    </row>
    <row r="59" spans="1:18">
      <c r="A59" s="6">
        <v>-0.2</v>
      </c>
      <c r="B59" s="6">
        <f t="shared" si="2"/>
        <v>-0.20135792079033082</v>
      </c>
      <c r="C59" s="13">
        <f t="shared" si="3"/>
        <v>-11.53695903281549</v>
      </c>
      <c r="D59" s="13">
        <f t="shared" ref="D59:D67" si="6">360+C59</f>
        <v>348.4630409671845</v>
      </c>
      <c r="O59" s="12">
        <v>1.4802010000000001</v>
      </c>
      <c r="P59" s="9">
        <f t="shared" si="4"/>
        <v>1.9981164876812334</v>
      </c>
      <c r="Q59">
        <f t="shared" si="5"/>
        <v>0.5179154876812333</v>
      </c>
    </row>
    <row r="60" spans="1:18">
      <c r="A60" s="6">
        <v>-0.3</v>
      </c>
      <c r="B60" s="6">
        <f t="shared" si="2"/>
        <v>-0.30469265401539752</v>
      </c>
      <c r="C60" s="13">
        <f t="shared" si="3"/>
        <v>-17.457603123722095</v>
      </c>
      <c r="D60" s="13">
        <f t="shared" si="6"/>
        <v>342.54239687627791</v>
      </c>
      <c r="O60" s="11">
        <v>1.392174</v>
      </c>
      <c r="P60" s="9">
        <f t="shared" si="4"/>
        <v>1.9953925280046003</v>
      </c>
      <c r="Q60">
        <f t="shared" si="5"/>
        <v>0.6032185280046003</v>
      </c>
    </row>
    <row r="61" spans="1:18">
      <c r="A61" s="6">
        <v>-0.4</v>
      </c>
      <c r="B61" s="6">
        <f t="shared" si="2"/>
        <v>-0.41151684606748801</v>
      </c>
      <c r="C61" s="13">
        <f t="shared" si="3"/>
        <v>-23.578178478201831</v>
      </c>
      <c r="D61" s="13">
        <f t="shared" si="6"/>
        <v>336.42182152179817</v>
      </c>
      <c r="O61" s="12">
        <v>1.3101689999999999</v>
      </c>
      <c r="P61" s="9">
        <f t="shared" si="4"/>
        <v>1.9872504932469437</v>
      </c>
      <c r="Q61">
        <f t="shared" si="5"/>
        <v>0.67708149324694378</v>
      </c>
    </row>
    <row r="62" spans="1:18">
      <c r="A62" s="6">
        <v>-0.5</v>
      </c>
      <c r="B62" s="6">
        <f t="shared" si="2"/>
        <v>-0.52359877559829893</v>
      </c>
      <c r="C62" s="13">
        <f t="shared" si="3"/>
        <v>-30.000000000000004</v>
      </c>
      <c r="D62" s="13">
        <f t="shared" si="6"/>
        <v>330</v>
      </c>
      <c r="O62" s="11">
        <v>1.234202</v>
      </c>
      <c r="P62" s="9">
        <f t="shared" si="4"/>
        <v>1.9763892497369271</v>
      </c>
      <c r="Q62">
        <f t="shared" si="5"/>
        <v>0.74218724973692707</v>
      </c>
    </row>
    <row r="63" spans="1:18">
      <c r="A63" s="6">
        <v>-0.6</v>
      </c>
      <c r="B63" s="6">
        <f t="shared" si="2"/>
        <v>-0.64350110879328437</v>
      </c>
      <c r="C63" s="13">
        <f t="shared" si="3"/>
        <v>-36.86989764584402</v>
      </c>
      <c r="D63" s="13">
        <f t="shared" si="6"/>
        <v>323.13010235415595</v>
      </c>
      <c r="O63" s="12">
        <v>1.163001</v>
      </c>
      <c r="P63" s="9">
        <f t="shared" si="4"/>
        <v>1.955127406041679</v>
      </c>
      <c r="Q63">
        <f t="shared" si="5"/>
        <v>0.79212640604167905</v>
      </c>
    </row>
    <row r="64" spans="1:18">
      <c r="A64" s="6">
        <v>-0.7</v>
      </c>
      <c r="B64" s="6">
        <f t="shared" si="2"/>
        <v>-0.77539749661075308</v>
      </c>
      <c r="C64" s="13">
        <f t="shared" si="3"/>
        <v>-44.427004000805709</v>
      </c>
      <c r="D64" s="13">
        <f t="shared" si="6"/>
        <v>315.57299599919429</v>
      </c>
      <c r="O64" s="11">
        <v>1.102185</v>
      </c>
      <c r="P64" s="9">
        <f t="shared" si="4"/>
        <v>1.9314983008596798</v>
      </c>
      <c r="Q64">
        <f t="shared" si="5"/>
        <v>0.8293133008596798</v>
      </c>
    </row>
    <row r="65" spans="1:17">
      <c r="A65" s="6">
        <v>-0.8</v>
      </c>
      <c r="B65" s="6">
        <f t="shared" si="2"/>
        <v>-0.9272952180016123</v>
      </c>
      <c r="C65" s="13">
        <f t="shared" si="3"/>
        <v>-53.130102354155987</v>
      </c>
      <c r="D65" s="13">
        <f t="shared" si="6"/>
        <v>306.86989764584399</v>
      </c>
      <c r="O65" s="12">
        <v>1.055571</v>
      </c>
      <c r="P65" s="9">
        <f t="shared" si="4"/>
        <v>1.8979890188190571</v>
      </c>
      <c r="Q65">
        <f t="shared" si="5"/>
        <v>0.84241801881905709</v>
      </c>
    </row>
    <row r="66" spans="1:17">
      <c r="A66" s="6">
        <v>-0.9</v>
      </c>
      <c r="B66" s="6">
        <f t="shared" si="2"/>
        <v>-1.119769514998634</v>
      </c>
      <c r="C66" s="13">
        <f t="shared" si="3"/>
        <v>-64.158067236832864</v>
      </c>
      <c r="D66" s="13">
        <f t="shared" si="6"/>
        <v>295.84193276316716</v>
      </c>
      <c r="O66" s="11">
        <v>1.0244629999999999</v>
      </c>
      <c r="P66" s="9">
        <f t="shared" si="4"/>
        <v>1.8585596303175345</v>
      </c>
      <c r="Q66">
        <f t="shared" si="5"/>
        <v>0.83409663031753456</v>
      </c>
    </row>
    <row r="67" spans="1:17">
      <c r="A67" s="6">
        <v>-1</v>
      </c>
      <c r="B67" s="6">
        <f t="shared" si="2"/>
        <v>-1.5707963267948966</v>
      </c>
      <c r="C67" s="13">
        <f t="shared" si="3"/>
        <v>-90</v>
      </c>
      <c r="D67" s="13">
        <f t="shared" si="6"/>
        <v>270</v>
      </c>
      <c r="O67" s="12">
        <v>1.0052859999999999</v>
      </c>
      <c r="P67" s="9">
        <f t="shared" si="4"/>
        <v>1.8001210323748211</v>
      </c>
      <c r="Q67">
        <f t="shared" si="5"/>
        <v>0.79483503237482123</v>
      </c>
    </row>
    <row r="68" spans="1:17">
      <c r="A68" s="6"/>
      <c r="B68" s="6"/>
      <c r="C68" s="6"/>
      <c r="D68" s="6"/>
      <c r="O68" s="11">
        <v>1.0028710000000001</v>
      </c>
      <c r="P68" s="9">
        <f t="shared" si="4"/>
        <v>1.7188493958261413</v>
      </c>
      <c r="Q68">
        <f t="shared" si="5"/>
        <v>0.7159783958261412</v>
      </c>
    </row>
    <row r="69" spans="1:17">
      <c r="A69" s="6"/>
      <c r="B69" s="6"/>
      <c r="C69" s="6"/>
      <c r="D69" s="6"/>
      <c r="O69" s="12">
        <v>1.0125</v>
      </c>
      <c r="P69" s="9">
        <f t="shared" si="4"/>
        <v>1.5008715718289276</v>
      </c>
      <c r="Q69">
        <f t="shared" si="5"/>
        <v>0.48837157182892765</v>
      </c>
    </row>
    <row r="70" spans="1:17">
      <c r="A70" s="6"/>
      <c r="B70" s="6"/>
      <c r="C70" s="6"/>
      <c r="D70" s="6"/>
      <c r="O70" s="11">
        <v>1.0380370000000001</v>
      </c>
      <c r="P70" s="9">
        <f t="shared" si="4"/>
        <v>1.9981164876812334</v>
      </c>
      <c r="Q70">
        <f t="shared" si="5"/>
        <v>0.9600794876812333</v>
      </c>
    </row>
    <row r="71" spans="1:17">
      <c r="A71" s="6"/>
      <c r="B71" s="6"/>
      <c r="C71" s="6"/>
      <c r="D71" s="6"/>
      <c r="O71" s="12">
        <v>1.07924</v>
      </c>
      <c r="P71" s="9">
        <f t="shared" si="4"/>
        <v>1.9981164876812334</v>
      </c>
      <c r="Q71">
        <f t="shared" si="5"/>
        <v>0.91887648768123342</v>
      </c>
    </row>
    <row r="72" spans="1:17">
      <c r="A72" s="6"/>
      <c r="B72" s="6"/>
      <c r="C72" s="6"/>
      <c r="D72" s="6"/>
      <c r="O72" s="11">
        <v>1.132118</v>
      </c>
      <c r="P72" s="9">
        <f t="shared" si="4"/>
        <v>1.9981164876812334</v>
      </c>
      <c r="Q72">
        <f t="shared" si="5"/>
        <v>0.86599848768123344</v>
      </c>
    </row>
    <row r="73" spans="1:17">
      <c r="A73" s="6"/>
      <c r="B73" s="6"/>
      <c r="C73" s="6"/>
      <c r="D73" s="6"/>
      <c r="O73" s="12">
        <v>1.1960729999999999</v>
      </c>
      <c r="P73" s="9">
        <f t="shared" si="4"/>
        <v>1.9981164876812334</v>
      </c>
      <c r="Q73">
        <f t="shared" si="5"/>
        <v>0.80204348768123346</v>
      </c>
    </row>
    <row r="74" spans="1:17">
      <c r="A74" s="6"/>
      <c r="B74" s="6"/>
      <c r="C74" s="6"/>
      <c r="D74" s="6"/>
      <c r="O74" s="11">
        <v>1.2684340000000001</v>
      </c>
      <c r="P74" s="9">
        <f t="shared" si="4"/>
        <v>1.9981164876812334</v>
      </c>
      <c r="Q74">
        <f t="shared" si="5"/>
        <v>0.72968248768123334</v>
      </c>
    </row>
    <row r="75" spans="1:17">
      <c r="A75" s="6"/>
      <c r="B75" s="6"/>
      <c r="C75" s="6"/>
      <c r="D75" s="6"/>
      <c r="O75" s="12">
        <v>1.348201</v>
      </c>
      <c r="P75" s="9">
        <f t="shared" si="4"/>
        <v>1.9981164876812334</v>
      </c>
      <c r="Q75">
        <f t="shared" si="5"/>
        <v>0.64991548768123342</v>
      </c>
    </row>
    <row r="76" spans="1:17">
      <c r="A76" s="6"/>
      <c r="B76" s="6"/>
      <c r="C76" s="6"/>
      <c r="D76" s="6"/>
      <c r="O76" s="11">
        <v>1.4342790000000001</v>
      </c>
      <c r="P76" s="9">
        <f t="shared" si="4"/>
        <v>1.9981164876812334</v>
      </c>
      <c r="Q76">
        <f t="shared" si="5"/>
        <v>0.56383748768123332</v>
      </c>
    </row>
    <row r="77" spans="1:17">
      <c r="A77" s="6"/>
      <c r="B77" s="6"/>
      <c r="C77" s="6"/>
      <c r="D77" s="6"/>
      <c r="O77" s="12">
        <v>1.5189090000000001</v>
      </c>
      <c r="P77" s="9">
        <f t="shared" si="4"/>
        <v>1.9981164876812334</v>
      </c>
      <c r="Q77">
        <f t="shared" si="5"/>
        <v>0.47920748768123334</v>
      </c>
    </row>
    <row r="78" spans="1:17">
      <c r="A78" s="6"/>
      <c r="B78" s="6"/>
      <c r="C78" s="6"/>
      <c r="D78" s="6"/>
      <c r="O78" s="11">
        <v>1.6050199999999999</v>
      </c>
      <c r="P78" s="9">
        <f t="shared" si="4"/>
        <v>1.9981164876812334</v>
      </c>
      <c r="Q78">
        <f t="shared" si="5"/>
        <v>0.39309648768123351</v>
      </c>
    </row>
    <row r="79" spans="1:17">
      <c r="A79" s="6"/>
      <c r="B79" s="6"/>
      <c r="C79" s="6"/>
      <c r="D79" s="6"/>
      <c r="O79" s="12">
        <v>1.6916629999999999</v>
      </c>
      <c r="P79" s="9">
        <f t="shared" si="4"/>
        <v>1.9981164876812334</v>
      </c>
      <c r="Q79">
        <f t="shared" si="5"/>
        <v>0.30645348768123348</v>
      </c>
    </row>
    <row r="80" spans="1:17">
      <c r="A80" s="6"/>
      <c r="B80" s="6"/>
      <c r="C80" s="6"/>
      <c r="D80" s="6"/>
      <c r="O80" s="11">
        <v>1.7673239999999999</v>
      </c>
      <c r="P80" s="9">
        <f t="shared" si="4"/>
        <v>1.9981164876812334</v>
      </c>
      <c r="Q80">
        <f t="shared" si="5"/>
        <v>0.2307924876812335</v>
      </c>
    </row>
    <row r="81" spans="1:17">
      <c r="A81" s="6"/>
      <c r="B81" s="6"/>
      <c r="C81" s="6"/>
      <c r="D81" s="6"/>
      <c r="O81" s="12">
        <v>1.8363989999999999</v>
      </c>
      <c r="P81" s="9">
        <f t="shared" si="4"/>
        <v>1.9981164876812334</v>
      </c>
      <c r="Q81">
        <f t="shared" si="5"/>
        <v>0.16171748768123351</v>
      </c>
    </row>
    <row r="82" spans="1:17">
      <c r="A82" s="6"/>
      <c r="B82" s="6"/>
      <c r="C82" s="6"/>
      <c r="D82" s="6"/>
      <c r="O82" s="11">
        <v>1.8971990000000001</v>
      </c>
      <c r="P82" s="9">
        <f t="shared" si="4"/>
        <v>1.9981164876812334</v>
      </c>
      <c r="Q82">
        <f t="shared" si="5"/>
        <v>0.10091748768123332</v>
      </c>
    </row>
    <row r="83" spans="1:17">
      <c r="A83" s="6"/>
      <c r="B83" s="6"/>
      <c r="C83" s="6"/>
      <c r="D83" s="6"/>
      <c r="O83" s="12">
        <v>1.944747</v>
      </c>
      <c r="P83" s="9">
        <f t="shared" si="4"/>
        <v>1.9981164876812334</v>
      </c>
      <c r="Q83">
        <f t="shared" si="5"/>
        <v>5.3369487681233396E-2</v>
      </c>
    </row>
    <row r="84" spans="1:17">
      <c r="A84" s="6"/>
      <c r="B84" s="6"/>
      <c r="C84" s="6"/>
      <c r="D84" s="6"/>
      <c r="O84" s="11">
        <v>1.9747920000000001</v>
      </c>
      <c r="P84" s="9">
        <f t="shared" si="4"/>
        <v>1.9981164876812334</v>
      </c>
      <c r="Q84">
        <f t="shared" si="5"/>
        <v>2.3324487681233297E-2</v>
      </c>
    </row>
    <row r="85" spans="1:17">
      <c r="A85" s="6"/>
      <c r="B85" s="6"/>
      <c r="C85" s="6"/>
      <c r="D85" s="6"/>
      <c r="O85" s="12">
        <v>1.9944519999999999</v>
      </c>
      <c r="P85" s="9">
        <f t="shared" si="4"/>
        <v>1.9981164876812334</v>
      </c>
      <c r="Q85">
        <f t="shared" si="5"/>
        <v>3.6644876812335081E-3</v>
      </c>
    </row>
    <row r="86" spans="1:17">
      <c r="A86" s="6"/>
      <c r="B86" s="6"/>
      <c r="C86" s="6"/>
      <c r="D86" s="6"/>
      <c r="O86" s="11">
        <v>1.997447</v>
      </c>
      <c r="P86" s="9">
        <f t="shared" si="4"/>
        <v>1.9981164876812334</v>
      </c>
      <c r="Q86">
        <f t="shared" si="5"/>
        <v>6.6948768123342717E-4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A03BF-1621-4733-9D1E-4CA896DD384A}">
  <dimension ref="A1:U86"/>
  <sheetViews>
    <sheetView workbookViewId="0">
      <selection activeCell="E27" sqref="E27"/>
    </sheetView>
  </sheetViews>
  <sheetFormatPr baseColWidth="10" defaultRowHeight="14.25"/>
  <sheetData>
    <row r="1" spans="1:19">
      <c r="A1" s="6" t="s">
        <v>10</v>
      </c>
      <c r="B1" s="6" t="s">
        <v>0</v>
      </c>
      <c r="C1" s="6" t="s">
        <v>11</v>
      </c>
      <c r="D1" s="6" t="s">
        <v>14</v>
      </c>
    </row>
    <row r="2" spans="1:19">
      <c r="A2" s="10">
        <v>90</v>
      </c>
      <c r="B2" s="10">
        <v>1.2328490000000001</v>
      </c>
      <c r="C2" s="6">
        <f>Tableau136[[#This Row],[Angle \ deg ]]*PI()/180</f>
        <v>1.5707963267948966</v>
      </c>
      <c r="D2" s="6">
        <f>COS(Tableau136[[#This Row],[Colonne1]])</f>
        <v>6.1257422745431001E-17</v>
      </c>
    </row>
    <row r="3" spans="1:19">
      <c r="A3" s="10">
        <v>64</v>
      </c>
      <c r="B3" s="10">
        <v>1.4139269999999999</v>
      </c>
      <c r="C3" s="6">
        <f>Tableau136[[#This Row],[Angle \ deg ]]*PI()/180</f>
        <v>1.1170107212763709</v>
      </c>
      <c r="D3" s="6">
        <f>COS(Tableau136[[#This Row],[Colonne1]])</f>
        <v>0.43837114678907746</v>
      </c>
    </row>
    <row r="4" spans="1:19">
      <c r="A4" s="10">
        <v>44</v>
      </c>
      <c r="B4" s="10">
        <v>1.5353650000000001</v>
      </c>
      <c r="C4" s="6">
        <f>Tableau136[[#This Row],[Angle \ deg ]]*PI()/180</f>
        <v>0.76794487087750496</v>
      </c>
      <c r="D4" s="6">
        <f>COS(Tableau136[[#This Row],[Colonne1]])</f>
        <v>0.71933980033865119</v>
      </c>
    </row>
    <row r="5" spans="1:19">
      <c r="A5" s="10">
        <v>37</v>
      </c>
      <c r="B5" s="10">
        <v>1.5688880000000001</v>
      </c>
      <c r="C5" s="6">
        <f>Tableau136[[#This Row],[Angle \ deg ]]*PI()/180</f>
        <v>0.64577182323790194</v>
      </c>
      <c r="D5" s="6">
        <f>COS(Tableau136[[#This Row],[Colonne1]])</f>
        <v>0.79863551004729283</v>
      </c>
    </row>
    <row r="6" spans="1:19">
      <c r="A6" s="10">
        <v>30</v>
      </c>
      <c r="B6" s="10">
        <v>1.598757</v>
      </c>
      <c r="C6" s="6">
        <f>Tableau136[[#This Row],[Angle \ deg ]]*PI()/180</f>
        <v>0.52359877559829882</v>
      </c>
      <c r="D6" s="6">
        <f>COS(Tableau136[[#This Row],[Colonne1]])</f>
        <v>0.86602540378443871</v>
      </c>
    </row>
    <row r="7" spans="1:19">
      <c r="A7" s="10">
        <v>24</v>
      </c>
      <c r="B7" s="10">
        <v>1.620816</v>
      </c>
      <c r="C7" s="6">
        <f>Tableau136[[#This Row],[Angle \ deg ]]*PI()/180</f>
        <v>0.41887902047863906</v>
      </c>
      <c r="D7" s="6">
        <f>COS(Tableau136[[#This Row],[Colonne1]])</f>
        <v>0.91354545764260087</v>
      </c>
      <c r="O7" s="1">
        <v>40</v>
      </c>
      <c r="P7" s="11">
        <v>1.8658170000000001</v>
      </c>
    </row>
    <row r="8" spans="1:19">
      <c r="A8" s="10">
        <v>17</v>
      </c>
      <c r="B8" s="10">
        <v>1.640846</v>
      </c>
      <c r="C8" s="6">
        <f>Tableau136[[#This Row],[Angle \ deg ]]*PI()/180</f>
        <v>0.29670597283903605</v>
      </c>
      <c r="D8" s="6">
        <f>COS(Tableau136[[#This Row],[Colonne1]])</f>
        <v>0.95630475596303544</v>
      </c>
      <c r="O8" s="3">
        <v>50</v>
      </c>
      <c r="P8" s="12">
        <v>1.8012980000000001</v>
      </c>
    </row>
    <row r="9" spans="1:19">
      <c r="A9" s="10">
        <v>12</v>
      </c>
      <c r="B9" s="10">
        <v>1.65326</v>
      </c>
      <c r="C9" s="6">
        <f>Tableau136[[#This Row],[Angle \ deg ]]*PI()/180</f>
        <v>0.20943951023931953</v>
      </c>
      <c r="D9" s="6">
        <f>COS(Tableau136[[#This Row],[Colonne1]])</f>
        <v>0.97814760073380569</v>
      </c>
      <c r="O9" s="1">
        <v>60</v>
      </c>
      <c r="P9" s="11">
        <v>1.7303869999999999</v>
      </c>
      <c r="R9" s="5" t="s">
        <v>1</v>
      </c>
      <c r="S9" s="5" t="s">
        <v>2</v>
      </c>
    </row>
    <row r="10" spans="1:19">
      <c r="A10" s="10">
        <v>6</v>
      </c>
      <c r="B10" s="10">
        <v>1.660361</v>
      </c>
      <c r="C10" s="6">
        <f>Tableau136[[#This Row],[Angle \ deg ]]*PI()/180</f>
        <v>0.10471975511965977</v>
      </c>
      <c r="D10" s="6">
        <f>COS(Tableau136[[#This Row],[Colonne1]])</f>
        <v>0.99452189536827329</v>
      </c>
      <c r="O10" s="3">
        <v>70</v>
      </c>
      <c r="P10" s="12">
        <v>1.650072</v>
      </c>
      <c r="R10" s="6">
        <f t="array" ref="R10:S11">LINEST(P7:P17,O7:O17,1,1)</f>
        <v>-7.9205081818181818E-3</v>
      </c>
      <c r="S10" s="6">
        <v>2.1941666454545454</v>
      </c>
    </row>
    <row r="11" spans="1:19">
      <c r="A11" s="10">
        <v>0</v>
      </c>
      <c r="B11" s="10">
        <v>1.664193</v>
      </c>
      <c r="C11" s="6">
        <f>Tableau136[[#This Row],[Angle \ deg ]]*PI()/180</f>
        <v>0</v>
      </c>
      <c r="D11" s="6">
        <f>COS(Tableau136[[#This Row],[Colonne1]])</f>
        <v>1</v>
      </c>
      <c r="O11" s="1">
        <v>80</v>
      </c>
      <c r="P11" s="11">
        <v>1.565024</v>
      </c>
      <c r="R11" s="6">
        <v>1.0256551688686574E-4</v>
      </c>
      <c r="S11" s="6">
        <v>9.7841267271972961E-3</v>
      </c>
    </row>
    <row r="12" spans="1:19">
      <c r="A12" s="10">
        <v>354</v>
      </c>
      <c r="B12" s="10">
        <v>1.663243</v>
      </c>
      <c r="C12" s="6">
        <f>Tableau136[[#This Row],[Angle \ deg ]]*PI()/180</f>
        <v>6.1784655520599268</v>
      </c>
      <c r="D12" s="6">
        <f>COS(Tableau136[[#This Row],[Colonne1]])</f>
        <v>0.99452189536827329</v>
      </c>
      <c r="O12" s="3">
        <v>90</v>
      </c>
      <c r="P12" s="12">
        <v>1.4802010000000001</v>
      </c>
      <c r="R12" s="5" t="s">
        <v>3</v>
      </c>
      <c r="S12" s="5" t="s">
        <v>4</v>
      </c>
    </row>
    <row r="13" spans="1:19">
      <c r="A13" s="10">
        <v>348</v>
      </c>
      <c r="B13" s="10">
        <v>1.662712</v>
      </c>
      <c r="C13" s="6">
        <f>Tableau136[[#This Row],[Angle \ deg ]]*PI()/180</f>
        <v>6.0737457969402664</v>
      </c>
      <c r="D13" s="6">
        <f>COS(Tableau136[[#This Row],[Colonne1]])</f>
        <v>0.97814760073380558</v>
      </c>
      <c r="O13" s="1">
        <v>100</v>
      </c>
      <c r="P13" s="11">
        <v>1.392174</v>
      </c>
    </row>
    <row r="14" spans="1:19">
      <c r="A14" s="10">
        <v>343</v>
      </c>
      <c r="B14" s="10">
        <v>1.652471</v>
      </c>
      <c r="C14" s="6">
        <f>Tableau136[[#This Row],[Angle \ deg ]]*PI()/180</f>
        <v>5.9864793343405509</v>
      </c>
      <c r="D14" s="6">
        <f>COS(Tableau136[[#This Row],[Colonne1]])</f>
        <v>0.95630475596303566</v>
      </c>
      <c r="O14" s="3">
        <v>110</v>
      </c>
      <c r="P14" s="12">
        <v>1.3101689999999999</v>
      </c>
    </row>
    <row r="15" spans="1:19">
      <c r="A15" s="10">
        <v>336</v>
      </c>
      <c r="B15" s="10">
        <v>1.6355</v>
      </c>
      <c r="C15" s="6">
        <f>Tableau136[[#This Row],[Angle \ deg ]]*PI()/180</f>
        <v>5.8643062867009474</v>
      </c>
      <c r="D15" s="6">
        <f>COS(Tableau136[[#This Row],[Colonne1]])</f>
        <v>0.91354545764260098</v>
      </c>
      <c r="O15" s="1">
        <v>120</v>
      </c>
      <c r="P15" s="11">
        <v>1.234202</v>
      </c>
    </row>
    <row r="16" spans="1:19">
      <c r="A16" s="10">
        <v>330</v>
      </c>
      <c r="B16" s="10">
        <v>1.61927</v>
      </c>
      <c r="C16" s="6">
        <f>Tableau136[[#This Row],[Angle \ deg ]]*PI()/180</f>
        <v>5.7595865315812871</v>
      </c>
      <c r="D16" s="6">
        <f>COS(Tableau136[[#This Row],[Colonne1]])</f>
        <v>0.86602540378443837</v>
      </c>
      <c r="O16" s="3">
        <v>130</v>
      </c>
      <c r="P16" s="12">
        <v>1.163001</v>
      </c>
    </row>
    <row r="17" spans="1:21">
      <c r="A17" s="10">
        <v>323</v>
      </c>
      <c r="B17" s="10">
        <v>1.593685</v>
      </c>
      <c r="C17" s="6">
        <f>Tableau136[[#This Row],[Angle \ deg ]]*PI()/180</f>
        <v>5.6374134839416845</v>
      </c>
      <c r="D17" s="6">
        <f>COS(Tableau136[[#This Row],[Colonne1]])</f>
        <v>0.79863551004729283</v>
      </c>
      <c r="O17" s="1">
        <v>140</v>
      </c>
      <c r="P17" s="11">
        <v>1.102185</v>
      </c>
    </row>
    <row r="18" spans="1:21">
      <c r="A18" s="10">
        <v>316</v>
      </c>
      <c r="B18" s="10">
        <v>1.559904</v>
      </c>
      <c r="C18" s="6">
        <f>Tableau136[[#This Row],[Angle \ deg ]]*PI()/180</f>
        <v>5.5152404363020811</v>
      </c>
      <c r="D18" s="6">
        <f>COS(Tableau136[[#This Row],[Colonne1]])</f>
        <v>0.71933980033865086</v>
      </c>
    </row>
    <row r="19" spans="1:21">
      <c r="A19" s="10">
        <v>307</v>
      </c>
      <c r="B19" s="10">
        <v>1.5130479999999999</v>
      </c>
      <c r="C19" s="6">
        <f>Tableau136[[#This Row],[Angle \ deg ]]*PI()/180</f>
        <v>5.3581608036225914</v>
      </c>
      <c r="D19" s="6">
        <f>COS(Tableau136[[#This Row],[Colonne1]])</f>
        <v>0.60181502315204793</v>
      </c>
    </row>
    <row r="20" spans="1:21">
      <c r="A20" s="10">
        <v>296</v>
      </c>
      <c r="B20" s="10">
        <v>1.450542</v>
      </c>
      <c r="C20" s="6">
        <f>Tableau136[[#This Row],[Angle \ deg ]]*PI()/180</f>
        <v>5.1661745859032155</v>
      </c>
      <c r="D20" s="6">
        <f>COS(Tableau136[[#This Row],[Colonne1]])</f>
        <v>0.4383711467890774</v>
      </c>
    </row>
    <row r="21" spans="1:21">
      <c r="A21" s="10">
        <v>270</v>
      </c>
      <c r="B21" s="10">
        <v>1.268095</v>
      </c>
      <c r="C21" s="6">
        <f>Tableau136[[#This Row],[Angle \ deg ]]*PI()/180</f>
        <v>4.7123889803846897</v>
      </c>
      <c r="D21" s="6">
        <f>COS(Tableau136[[#This Row],[Colonne1]])</f>
        <v>-1.83772268236293E-16</v>
      </c>
    </row>
    <row r="22" spans="1:21">
      <c r="A22" s="10">
        <v>0</v>
      </c>
      <c r="B22" s="10">
        <v>1.664129</v>
      </c>
      <c r="C22" s="6">
        <f>Tableau136[[#This Row],[Angle \ deg ]]*PI()/180</f>
        <v>0</v>
      </c>
      <c r="D22" s="6">
        <f>COS(Tableau136[[#This Row],[Colonne1]])</f>
        <v>1</v>
      </c>
    </row>
    <row r="23" spans="1:21">
      <c r="A23" s="10">
        <v>0</v>
      </c>
      <c r="B23" s="10">
        <v>1.6648700000000001</v>
      </c>
      <c r="C23" s="6">
        <f>Tableau136[[#This Row],[Angle \ deg ]]*PI()/180</f>
        <v>0</v>
      </c>
      <c r="D23" s="6">
        <f>COS(Tableau136[[#This Row],[Colonne1]])</f>
        <v>1</v>
      </c>
      <c r="R23" s="5" t="s">
        <v>7</v>
      </c>
    </row>
    <row r="24" spans="1:21">
      <c r="A24" s="10">
        <v>0</v>
      </c>
      <c r="B24" s="10">
        <v>1.665192</v>
      </c>
      <c r="C24" s="6">
        <f>Tableau136[[#This Row],[Angle \ deg ]]*PI()/180</f>
        <v>0</v>
      </c>
      <c r="D24" s="6">
        <f>COS(Tableau136[[#This Row],[Colonne1]])</f>
        <v>1</v>
      </c>
      <c r="O24" t="s">
        <v>5</v>
      </c>
      <c r="R24" s="6">
        <f>MAX(U25:U35)</f>
        <v>1.6230999999999662E-2</v>
      </c>
      <c r="U24" t="s">
        <v>6</v>
      </c>
    </row>
    <row r="25" spans="1:21">
      <c r="A25" s="10">
        <v>0</v>
      </c>
      <c r="B25" s="10">
        <v>1.6656260000000001</v>
      </c>
      <c r="C25" s="6">
        <f>Tableau136[[#This Row],[Angle \ deg ]]*PI()/180</f>
        <v>0</v>
      </c>
      <c r="D25" s="6">
        <f>COS(Tableau136[[#This Row],[Colonne1]])</f>
        <v>1</v>
      </c>
      <c r="O25" s="1">
        <v>40</v>
      </c>
      <c r="P25" s="2">
        <f>-0.0079*O25+2.1954</f>
        <v>1.8793999999999997</v>
      </c>
      <c r="R25" s="5" t="s">
        <v>8</v>
      </c>
      <c r="T25" s="1">
        <v>40</v>
      </c>
      <c r="U25">
        <f t="shared" ref="U25:U35" si="0">ABS(P7-P25)</f>
        <v>1.3582999999999679E-2</v>
      </c>
    </row>
    <row r="26" spans="1:21">
      <c r="A26" s="10">
        <v>0</v>
      </c>
      <c r="B26" s="10">
        <v>1.6654009999999999</v>
      </c>
      <c r="C26" s="6">
        <f>Tableau136[[#This Row],[Angle \ deg ]]*PI()/180</f>
        <v>0</v>
      </c>
      <c r="D26" s="6">
        <f>COS(Tableau136[[#This Row],[Colonne1]])</f>
        <v>1</v>
      </c>
      <c r="O26" s="3">
        <v>50</v>
      </c>
      <c r="P26" s="2">
        <f t="shared" ref="P26:P35" si="1">-0.0079*O26+2.1954</f>
        <v>1.8003999999999998</v>
      </c>
      <c r="R26" s="6">
        <f>P7-P17</f>
        <v>0.76363200000000009</v>
      </c>
      <c r="T26" s="3">
        <v>50</v>
      </c>
      <c r="U26">
        <f t="shared" si="0"/>
        <v>8.9800000000028746E-4</v>
      </c>
    </row>
    <row r="27" spans="1:21">
      <c r="A27" s="10">
        <v>0</v>
      </c>
      <c r="B27" s="10">
        <v>1.6657390000000001</v>
      </c>
      <c r="C27" s="6">
        <f>Tableau136[[#This Row],[Angle \ deg ]]*PI()/180</f>
        <v>0</v>
      </c>
      <c r="D27" s="6">
        <f>COS(Tableau136[[#This Row],[Colonne1]])</f>
        <v>1</v>
      </c>
      <c r="O27" s="1">
        <v>60</v>
      </c>
      <c r="P27" s="2">
        <f t="shared" si="1"/>
        <v>1.7213999999999998</v>
      </c>
      <c r="R27" s="6"/>
      <c r="T27" s="1">
        <v>60</v>
      </c>
      <c r="U27">
        <f t="shared" si="0"/>
        <v>8.9870000000000783E-3</v>
      </c>
    </row>
    <row r="28" spans="1:21">
      <c r="A28" s="10">
        <v>0</v>
      </c>
      <c r="B28" s="10">
        <v>1.6662539999999999</v>
      </c>
      <c r="C28" s="6">
        <f>Tableau136[[#This Row],[Angle \ deg ]]*PI()/180</f>
        <v>0</v>
      </c>
      <c r="D28" s="6">
        <f>COS(Tableau136[[#This Row],[Colonne1]])</f>
        <v>1</v>
      </c>
      <c r="O28" s="3">
        <v>70</v>
      </c>
      <c r="P28" s="2">
        <f t="shared" si="1"/>
        <v>1.6423999999999999</v>
      </c>
      <c r="R28" s="5" t="s">
        <v>9</v>
      </c>
      <c r="T28" s="3">
        <v>70</v>
      </c>
      <c r="U28">
        <f t="shared" si="0"/>
        <v>7.6720000000001232E-3</v>
      </c>
    </row>
    <row r="29" spans="1:21">
      <c r="A29" s="10">
        <v>0</v>
      </c>
      <c r="B29" s="10">
        <v>1.664499</v>
      </c>
      <c r="C29" s="6">
        <f>Tableau136[[#This Row],[Angle \ deg ]]*PI()/180</f>
        <v>0</v>
      </c>
      <c r="D29" s="6">
        <f>COS(Tableau136[[#This Row],[Colonne1]])</f>
        <v>1</v>
      </c>
      <c r="O29" s="1">
        <v>80</v>
      </c>
      <c r="P29" s="2">
        <f t="shared" si="1"/>
        <v>1.5633999999999997</v>
      </c>
      <c r="R29" s="6">
        <f>(R24/R26)*100</f>
        <v>2.1255002409537136</v>
      </c>
      <c r="T29" s="1">
        <v>80</v>
      </c>
      <c r="U29">
        <f t="shared" si="0"/>
        <v>1.6240000000002919E-3</v>
      </c>
    </row>
    <row r="30" spans="1:21">
      <c r="A30" s="10">
        <v>0</v>
      </c>
      <c r="B30" s="10">
        <v>1.6648529999999999</v>
      </c>
      <c r="C30" s="6">
        <f>Tableau136[[#This Row],[Angle \ deg ]]*PI()/180</f>
        <v>0</v>
      </c>
      <c r="D30" s="6">
        <f>COS(Tableau136[[#This Row],[Colonne1]])</f>
        <v>1</v>
      </c>
      <c r="O30" s="3">
        <v>90</v>
      </c>
      <c r="P30" s="2">
        <f t="shared" si="1"/>
        <v>1.4843999999999997</v>
      </c>
      <c r="T30" s="3">
        <v>90</v>
      </c>
      <c r="U30">
        <f t="shared" si="0"/>
        <v>4.1989999999996197E-3</v>
      </c>
    </row>
    <row r="31" spans="1:21">
      <c r="A31" s="10">
        <v>0</v>
      </c>
      <c r="B31" s="10">
        <v>1.6624220000000001</v>
      </c>
      <c r="C31" s="6">
        <f>Tableau136[[#This Row],[Angle \ deg ]]*PI()/180</f>
        <v>0</v>
      </c>
      <c r="D31" s="6">
        <f>COS(Tableau136[[#This Row],[Colonne1]])</f>
        <v>1</v>
      </c>
      <c r="O31" s="1">
        <v>100</v>
      </c>
      <c r="P31" s="2">
        <f t="shared" si="1"/>
        <v>1.4053999999999998</v>
      </c>
      <c r="T31" s="1">
        <v>100</v>
      </c>
      <c r="U31">
        <f t="shared" si="0"/>
        <v>1.3225999999999738E-2</v>
      </c>
    </row>
    <row r="32" spans="1:21">
      <c r="A32" s="10">
        <v>0</v>
      </c>
      <c r="B32" s="10">
        <v>1.6656420000000001</v>
      </c>
      <c r="C32" s="6">
        <f>Tableau136[[#This Row],[Angle \ deg ]]*PI()/180</f>
        <v>0</v>
      </c>
      <c r="D32" s="6">
        <f>COS(Tableau136[[#This Row],[Colonne1]])</f>
        <v>1</v>
      </c>
      <c r="O32" s="3">
        <v>110</v>
      </c>
      <c r="P32" s="2">
        <f t="shared" si="1"/>
        <v>1.3263999999999996</v>
      </c>
      <c r="T32" s="3">
        <v>110</v>
      </c>
      <c r="U32">
        <f t="shared" si="0"/>
        <v>1.6230999999999662E-2</v>
      </c>
    </row>
    <row r="33" spans="1:21">
      <c r="A33" s="10">
        <v>0</v>
      </c>
      <c r="B33" s="10">
        <v>1.667092</v>
      </c>
      <c r="C33" s="6">
        <f>Tableau136[[#This Row],[Angle \ deg ]]*PI()/180</f>
        <v>0</v>
      </c>
      <c r="D33" s="6">
        <f>COS(Tableau136[[#This Row],[Colonne1]])</f>
        <v>1</v>
      </c>
      <c r="O33" s="1">
        <v>120</v>
      </c>
      <c r="P33" s="2">
        <f t="shared" si="1"/>
        <v>1.2473999999999998</v>
      </c>
      <c r="T33" s="1">
        <v>120</v>
      </c>
      <c r="U33">
        <f t="shared" si="0"/>
        <v>1.3197999999999821E-2</v>
      </c>
    </row>
    <row r="34" spans="1:21">
      <c r="A34" s="10">
        <v>0</v>
      </c>
      <c r="B34" s="10">
        <v>1.666174</v>
      </c>
      <c r="C34" s="6">
        <f>Tableau136[[#This Row],[Angle \ deg ]]*PI()/180</f>
        <v>0</v>
      </c>
      <c r="D34" s="6">
        <f>COS(Tableau136[[#This Row],[Colonne1]])</f>
        <v>1</v>
      </c>
      <c r="O34" s="3">
        <v>130</v>
      </c>
      <c r="P34" s="2">
        <f t="shared" si="1"/>
        <v>1.1683999999999997</v>
      </c>
      <c r="T34" s="3">
        <v>130</v>
      </c>
      <c r="U34">
        <f t="shared" si="0"/>
        <v>5.3989999999997096E-3</v>
      </c>
    </row>
    <row r="35" spans="1:21">
      <c r="A35" s="10">
        <v>0</v>
      </c>
      <c r="B35" s="10">
        <v>1.664048</v>
      </c>
      <c r="C35" s="6">
        <f>Tableau136[[#This Row],[Angle \ deg ]]*PI()/180</f>
        <v>0</v>
      </c>
      <c r="D35" s="6">
        <f>COS(Tableau136[[#This Row],[Colonne1]])</f>
        <v>1</v>
      </c>
      <c r="O35" s="1">
        <v>140</v>
      </c>
      <c r="P35" s="2">
        <f t="shared" si="1"/>
        <v>1.0893999999999997</v>
      </c>
      <c r="T35" s="1">
        <v>140</v>
      </c>
      <c r="U35">
        <f t="shared" si="0"/>
        <v>1.2785000000000268E-2</v>
      </c>
    </row>
    <row r="36" spans="1:21">
      <c r="A36" s="10">
        <v>0</v>
      </c>
      <c r="B36" s="10">
        <v>1.664531</v>
      </c>
      <c r="C36" s="6">
        <f>Tableau136[[#This Row],[Angle \ deg ]]*PI()/180</f>
        <v>0</v>
      </c>
      <c r="D36" s="6">
        <f>COS(Tableau136[[#This Row],[Colonne1]])</f>
        <v>1</v>
      </c>
    </row>
    <row r="37" spans="1:21">
      <c r="A37" s="10">
        <v>0</v>
      </c>
      <c r="B37" s="10">
        <v>1.664209</v>
      </c>
      <c r="C37" s="6">
        <f>Tableau136[[#This Row],[Angle \ deg ]]*PI()/180</f>
        <v>0</v>
      </c>
      <c r="D37" s="6">
        <f>COS(Tableau136[[#This Row],[Colonne1]])</f>
        <v>1</v>
      </c>
    </row>
    <row r="38" spans="1:21">
      <c r="A38" s="10">
        <v>0</v>
      </c>
      <c r="B38" s="10">
        <v>1.664193</v>
      </c>
      <c r="C38" s="6">
        <f>Tableau136[[#This Row],[Angle \ deg ]]*PI()/180</f>
        <v>0</v>
      </c>
      <c r="D38" s="6">
        <f>COS(Tableau136[[#This Row],[Colonne1]])</f>
        <v>1</v>
      </c>
    </row>
    <row r="39" spans="1:21">
      <c r="A39" s="6"/>
      <c r="B39" s="6"/>
      <c r="C39" s="6"/>
      <c r="D39" s="6"/>
      <c r="O39" t="s">
        <v>13</v>
      </c>
      <c r="P39" t="s">
        <v>12</v>
      </c>
    </row>
    <row r="40" spans="1:21">
      <c r="A40" s="6"/>
      <c r="B40" s="6"/>
      <c r="C40" s="6"/>
      <c r="D40" s="6"/>
      <c r="O40">
        <f t="array" ref="O40:P41">LINEST(B2:B38,D2:D38,1,1)</f>
        <v>0.41319531229388384</v>
      </c>
      <c r="P40">
        <v>1.2518545763346549</v>
      </c>
    </row>
    <row r="41" spans="1:21">
      <c r="A41" s="6"/>
      <c r="B41" s="6"/>
      <c r="C41" s="6"/>
      <c r="D41" s="6"/>
      <c r="O41">
        <v>5.5051862202012457E-3</v>
      </c>
      <c r="P41">
        <v>4.9527592568361428E-3</v>
      </c>
    </row>
    <row r="42" spans="1:21">
      <c r="A42" s="6"/>
      <c r="B42" s="6"/>
      <c r="C42" s="6"/>
      <c r="D42" s="6"/>
      <c r="O42" t="s">
        <v>15</v>
      </c>
      <c r="P42" t="s">
        <v>16</v>
      </c>
    </row>
    <row r="43" spans="1:21">
      <c r="A43" s="6"/>
      <c r="B43" s="6"/>
      <c r="C43" s="6"/>
      <c r="D43" s="6"/>
    </row>
    <row r="44" spans="1:21">
      <c r="A44" s="6"/>
      <c r="B44" s="6"/>
      <c r="C44" s="6"/>
      <c r="D44" s="6"/>
    </row>
    <row r="45" spans="1:21">
      <c r="A45" s="6"/>
      <c r="B45" s="6"/>
      <c r="C45" s="6"/>
      <c r="D45" s="6"/>
    </row>
    <row r="46" spans="1:21">
      <c r="A46" s="6" t="s">
        <v>22</v>
      </c>
      <c r="B46" s="6" t="s">
        <v>23</v>
      </c>
      <c r="C46" s="6" t="s">
        <v>24</v>
      </c>
      <c r="D46" s="6"/>
    </row>
    <row r="47" spans="1:21">
      <c r="A47" s="6">
        <v>1</v>
      </c>
      <c r="B47" s="6">
        <f>ASIN(A47)</f>
        <v>1.5707963267948966</v>
      </c>
      <c r="C47" s="13">
        <f>DEGREES(B47)</f>
        <v>90</v>
      </c>
      <c r="D47" s="6"/>
    </row>
    <row r="48" spans="1:21">
      <c r="A48" s="6">
        <v>0.9</v>
      </c>
      <c r="B48" s="6">
        <f t="shared" ref="B48:B67" si="2">ASIN(A48)</f>
        <v>1.1197695149986342</v>
      </c>
      <c r="C48" s="13">
        <f t="shared" ref="C48:C67" si="3">DEGREES(B48)</f>
        <v>64.158067236832878</v>
      </c>
      <c r="D48" s="6"/>
    </row>
    <row r="49" spans="1:18">
      <c r="A49" s="6">
        <v>0.8</v>
      </c>
      <c r="B49" s="6">
        <f t="shared" si="2"/>
        <v>0.9272952180016123</v>
      </c>
      <c r="C49" s="13">
        <f t="shared" si="3"/>
        <v>53.130102354155987</v>
      </c>
      <c r="D49" s="6"/>
      <c r="O49" t="s">
        <v>19</v>
      </c>
      <c r="P49" t="s">
        <v>18</v>
      </c>
      <c r="Q49" t="s">
        <v>20</v>
      </c>
      <c r="R49" t="s">
        <v>21</v>
      </c>
    </row>
    <row r="50" spans="1:18">
      <c r="A50" s="6">
        <v>0.7</v>
      </c>
      <c r="B50" s="6">
        <f t="shared" si="2"/>
        <v>0.77539749661075308</v>
      </c>
      <c r="C50" s="13">
        <f t="shared" si="3"/>
        <v>44.427004000805709</v>
      </c>
      <c r="D50" s="6"/>
      <c r="O50" s="11">
        <v>1.9992179999999999</v>
      </c>
      <c r="P50" s="9">
        <f xml:space="preserve"> $O$40*D2+ $P$40</f>
        <v>1.2518545763346549</v>
      </c>
      <c r="Q50">
        <f>ABS(O50-P50)</f>
        <v>0.74736342366534503</v>
      </c>
      <c r="R50">
        <f>MAX(Q50:Q86)</f>
        <v>0.74736342366534503</v>
      </c>
    </row>
    <row r="51" spans="1:18">
      <c r="A51" s="6">
        <v>0.6</v>
      </c>
      <c r="B51" s="6">
        <f t="shared" si="2"/>
        <v>0.64350110879328437</v>
      </c>
      <c r="C51" s="13">
        <f t="shared" si="3"/>
        <v>36.86989764584402</v>
      </c>
      <c r="D51" s="6"/>
      <c r="O51" s="12">
        <v>1.9841310000000001</v>
      </c>
      <c r="P51" s="9">
        <f t="shared" ref="P51:P86" si="4" xml:space="preserve"> $O$40*D3+ $P$40</f>
        <v>1.4329874792327957</v>
      </c>
      <c r="Q51">
        <f t="shared" ref="Q51:Q86" si="5">ABS(O51-P51)</f>
        <v>0.55114352076720441</v>
      </c>
    </row>
    <row r="52" spans="1:18">
      <c r="A52" s="6">
        <v>0.5</v>
      </c>
      <c r="B52" s="6">
        <f t="shared" si="2"/>
        <v>0.52359877559829893</v>
      </c>
      <c r="C52" s="13">
        <f t="shared" si="3"/>
        <v>30.000000000000004</v>
      </c>
      <c r="D52" s="6"/>
      <c r="O52" s="11">
        <v>1.9580789999999999</v>
      </c>
      <c r="P52" s="9">
        <f t="shared" si="4"/>
        <v>1.5490824097810039</v>
      </c>
      <c r="Q52">
        <f t="shared" si="5"/>
        <v>0.40899659021899604</v>
      </c>
    </row>
    <row r="53" spans="1:18">
      <c r="A53" s="6">
        <v>0.4</v>
      </c>
      <c r="B53" s="6">
        <f t="shared" si="2"/>
        <v>0.41151684606748801</v>
      </c>
      <c r="C53" s="13">
        <f t="shared" si="3"/>
        <v>23.578178478201831</v>
      </c>
      <c r="D53" s="6"/>
      <c r="O53" s="12">
        <v>1.9194830000000001</v>
      </c>
      <c r="P53" s="9">
        <f t="shared" si="4"/>
        <v>1.5818470253176313</v>
      </c>
      <c r="Q53">
        <f t="shared" si="5"/>
        <v>0.33763597468236872</v>
      </c>
    </row>
    <row r="54" spans="1:18">
      <c r="A54" s="6">
        <v>0.3</v>
      </c>
      <c r="B54" s="6">
        <f t="shared" si="2"/>
        <v>0.30469265401539752</v>
      </c>
      <c r="C54" s="13">
        <f t="shared" si="3"/>
        <v>17.457603123722095</v>
      </c>
      <c r="D54" s="6"/>
      <c r="O54" s="11">
        <v>1.8658170000000001</v>
      </c>
      <c r="P54" s="9">
        <f t="shared" si="4"/>
        <v>1.6096922135058029</v>
      </c>
      <c r="Q54">
        <f t="shared" si="5"/>
        <v>0.25612478649419712</v>
      </c>
    </row>
    <row r="55" spans="1:18">
      <c r="A55" s="6">
        <v>0.2</v>
      </c>
      <c r="B55" s="6">
        <f t="shared" si="2"/>
        <v>0.20135792079033082</v>
      </c>
      <c r="C55" s="13">
        <f t="shared" si="3"/>
        <v>11.53695903281549</v>
      </c>
      <c r="D55" s="6"/>
      <c r="O55" s="12">
        <v>1.8012980000000001</v>
      </c>
      <c r="P55" s="9">
        <f t="shared" si="4"/>
        <v>1.6293272769999483</v>
      </c>
      <c r="Q55">
        <f t="shared" si="5"/>
        <v>0.17197072300005178</v>
      </c>
    </row>
    <row r="56" spans="1:18">
      <c r="A56" s="6">
        <v>0.1</v>
      </c>
      <c r="B56" s="6">
        <f t="shared" si="2"/>
        <v>0.1001674211615598</v>
      </c>
      <c r="C56" s="13">
        <f t="shared" si="3"/>
        <v>5.7391704772667866</v>
      </c>
      <c r="D56" s="6"/>
      <c r="O56" s="11">
        <v>1.7303869999999999</v>
      </c>
      <c r="P56" s="9">
        <f t="shared" si="4"/>
        <v>1.6469952186229277</v>
      </c>
      <c r="Q56">
        <f t="shared" si="5"/>
        <v>8.3391781377072149E-2</v>
      </c>
    </row>
    <row r="57" spans="1:18">
      <c r="A57" s="6">
        <v>0</v>
      </c>
      <c r="B57" s="6">
        <f t="shared" si="2"/>
        <v>0</v>
      </c>
      <c r="C57" s="13">
        <f t="shared" si="3"/>
        <v>0</v>
      </c>
      <c r="D57" s="6"/>
      <c r="O57" s="12">
        <v>1.650072</v>
      </c>
      <c r="P57" s="9">
        <f t="shared" si="4"/>
        <v>1.656020579689373</v>
      </c>
      <c r="Q57">
        <f t="shared" si="5"/>
        <v>5.9485796893730125E-3</v>
      </c>
    </row>
    <row r="58" spans="1:18">
      <c r="A58" s="6">
        <v>-0.1</v>
      </c>
      <c r="B58" s="6">
        <f t="shared" si="2"/>
        <v>-0.1001674211615598</v>
      </c>
      <c r="C58" s="13">
        <f t="shared" si="3"/>
        <v>-5.7391704772667866</v>
      </c>
      <c r="D58" s="13">
        <f>360+C58</f>
        <v>354.26082952273322</v>
      </c>
      <c r="O58" s="11">
        <v>1.565024</v>
      </c>
      <c r="P58" s="9">
        <f t="shared" si="4"/>
        <v>1.6627863614744538</v>
      </c>
      <c r="Q58">
        <f t="shared" si="5"/>
        <v>9.7762361474453829E-2</v>
      </c>
    </row>
    <row r="59" spans="1:18">
      <c r="A59" s="6">
        <v>-0.2</v>
      </c>
      <c r="B59" s="6">
        <f t="shared" si="2"/>
        <v>-0.20135792079033082</v>
      </c>
      <c r="C59" s="13">
        <f t="shared" si="3"/>
        <v>-11.53695903281549</v>
      </c>
      <c r="D59" s="13">
        <f t="shared" ref="D59:D67" si="6">360+C59</f>
        <v>348.4630409671845</v>
      </c>
      <c r="O59" s="12">
        <v>1.4802010000000001</v>
      </c>
      <c r="P59" s="9">
        <f t="shared" si="4"/>
        <v>1.6650498886285388</v>
      </c>
      <c r="Q59">
        <f t="shared" si="5"/>
        <v>0.18484888862853865</v>
      </c>
    </row>
    <row r="60" spans="1:18">
      <c r="A60" s="6">
        <v>-0.3</v>
      </c>
      <c r="B60" s="6">
        <f t="shared" si="2"/>
        <v>-0.30469265401539752</v>
      </c>
      <c r="C60" s="13">
        <f t="shared" si="3"/>
        <v>-17.457603123722095</v>
      </c>
      <c r="D60" s="13">
        <f t="shared" si="6"/>
        <v>342.54239687627791</v>
      </c>
      <c r="O60" s="11">
        <v>1.392174</v>
      </c>
      <c r="P60" s="9">
        <f t="shared" si="4"/>
        <v>1.6627863614744538</v>
      </c>
      <c r="Q60">
        <f t="shared" si="5"/>
        <v>0.27061236147445378</v>
      </c>
    </row>
    <row r="61" spans="1:18">
      <c r="A61" s="6">
        <v>-0.4</v>
      </c>
      <c r="B61" s="6">
        <f t="shared" si="2"/>
        <v>-0.41151684606748801</v>
      </c>
      <c r="C61" s="13">
        <f t="shared" si="3"/>
        <v>-23.578178478201831</v>
      </c>
      <c r="D61" s="13">
        <f t="shared" si="6"/>
        <v>336.42182152179817</v>
      </c>
      <c r="O61" s="12">
        <v>1.3101689999999999</v>
      </c>
      <c r="P61" s="9">
        <f t="shared" si="4"/>
        <v>1.6560205796893728</v>
      </c>
      <c r="Q61">
        <f t="shared" si="5"/>
        <v>0.34585157968937286</v>
      </c>
    </row>
    <row r="62" spans="1:18">
      <c r="A62" s="6">
        <v>-0.5</v>
      </c>
      <c r="B62" s="6">
        <f t="shared" si="2"/>
        <v>-0.52359877559829893</v>
      </c>
      <c r="C62" s="13">
        <f t="shared" si="3"/>
        <v>-30.000000000000004</v>
      </c>
      <c r="D62" s="13">
        <f t="shared" si="6"/>
        <v>330</v>
      </c>
      <c r="O62" s="11">
        <v>1.234202</v>
      </c>
      <c r="P62" s="9">
        <f t="shared" si="4"/>
        <v>1.6469952186229277</v>
      </c>
      <c r="Q62">
        <f t="shared" si="5"/>
        <v>0.41279321862292773</v>
      </c>
    </row>
    <row r="63" spans="1:18">
      <c r="A63" s="6">
        <v>-0.6</v>
      </c>
      <c r="B63" s="6">
        <f t="shared" si="2"/>
        <v>-0.64350110879328437</v>
      </c>
      <c r="C63" s="13">
        <f t="shared" si="3"/>
        <v>-36.86989764584402</v>
      </c>
      <c r="D63" s="13">
        <f t="shared" si="6"/>
        <v>323.13010235415595</v>
      </c>
      <c r="O63" s="12">
        <v>1.163001</v>
      </c>
      <c r="P63" s="9">
        <f t="shared" si="4"/>
        <v>1.6293272769999485</v>
      </c>
      <c r="Q63">
        <f t="shared" si="5"/>
        <v>0.46632627699994855</v>
      </c>
    </row>
    <row r="64" spans="1:18">
      <c r="A64" s="6">
        <v>-0.7</v>
      </c>
      <c r="B64" s="6">
        <f t="shared" si="2"/>
        <v>-0.77539749661075308</v>
      </c>
      <c r="C64" s="13">
        <f t="shared" si="3"/>
        <v>-44.427004000805709</v>
      </c>
      <c r="D64" s="13">
        <f t="shared" si="6"/>
        <v>315.57299599919429</v>
      </c>
      <c r="O64" s="11">
        <v>1.102185</v>
      </c>
      <c r="P64" s="9">
        <f t="shared" si="4"/>
        <v>1.6096922135058027</v>
      </c>
      <c r="Q64">
        <f t="shared" si="5"/>
        <v>0.50750721350580275</v>
      </c>
    </row>
    <row r="65" spans="1:17">
      <c r="A65" s="6">
        <v>-0.8</v>
      </c>
      <c r="B65" s="6">
        <f t="shared" si="2"/>
        <v>-0.9272952180016123</v>
      </c>
      <c r="C65" s="13">
        <f t="shared" si="3"/>
        <v>-53.130102354155987</v>
      </c>
      <c r="D65" s="13">
        <f t="shared" si="6"/>
        <v>306.86989764584399</v>
      </c>
      <c r="O65" s="12">
        <v>1.055571</v>
      </c>
      <c r="P65" s="9">
        <f t="shared" si="4"/>
        <v>1.5818470253176313</v>
      </c>
      <c r="Q65">
        <f t="shared" si="5"/>
        <v>0.52627602531763129</v>
      </c>
    </row>
    <row r="66" spans="1:17">
      <c r="A66" s="6">
        <v>-0.9</v>
      </c>
      <c r="B66" s="6">
        <f t="shared" si="2"/>
        <v>-1.119769514998634</v>
      </c>
      <c r="C66" s="13">
        <f t="shared" si="3"/>
        <v>-64.158067236832864</v>
      </c>
      <c r="D66" s="13">
        <f t="shared" si="6"/>
        <v>295.84193276316716</v>
      </c>
      <c r="O66" s="11">
        <v>1.0244629999999999</v>
      </c>
      <c r="P66" s="9">
        <f t="shared" si="4"/>
        <v>1.5490824097810039</v>
      </c>
      <c r="Q66">
        <f t="shared" si="5"/>
        <v>0.52461940978100396</v>
      </c>
    </row>
    <row r="67" spans="1:17">
      <c r="A67" s="6">
        <v>-1</v>
      </c>
      <c r="B67" s="6">
        <f t="shared" si="2"/>
        <v>-1.5707963267948966</v>
      </c>
      <c r="C67" s="13">
        <f t="shared" si="3"/>
        <v>-90</v>
      </c>
      <c r="D67" s="13">
        <f t="shared" si="6"/>
        <v>270</v>
      </c>
      <c r="O67" s="12">
        <v>1.0052859999999999</v>
      </c>
      <c r="P67" s="9">
        <f t="shared" si="4"/>
        <v>1.5005217227691163</v>
      </c>
      <c r="Q67">
        <f t="shared" si="5"/>
        <v>0.49523572276911643</v>
      </c>
    </row>
    <row r="68" spans="1:17">
      <c r="A68" s="6"/>
      <c r="B68" s="6"/>
      <c r="C68" s="6"/>
      <c r="D68" s="6"/>
      <c r="O68" s="11">
        <v>1.0028710000000001</v>
      </c>
      <c r="P68" s="9">
        <f t="shared" si="4"/>
        <v>1.4329874792327957</v>
      </c>
      <c r="Q68">
        <f t="shared" si="5"/>
        <v>0.43011647923279561</v>
      </c>
    </row>
    <row r="69" spans="1:17">
      <c r="A69" s="6"/>
      <c r="B69" s="6"/>
      <c r="C69" s="6"/>
      <c r="D69" s="6"/>
      <c r="O69" s="12">
        <v>1.0125</v>
      </c>
      <c r="P69" s="9">
        <f t="shared" si="4"/>
        <v>1.2518545763346549</v>
      </c>
      <c r="Q69">
        <f t="shared" si="5"/>
        <v>0.23935457633465496</v>
      </c>
    </row>
    <row r="70" spans="1:17">
      <c r="A70" s="6"/>
      <c r="B70" s="6"/>
      <c r="C70" s="6"/>
      <c r="D70" s="6"/>
      <c r="O70" s="11">
        <v>1.0380370000000001</v>
      </c>
      <c r="P70" s="9">
        <f t="shared" si="4"/>
        <v>1.6650498886285388</v>
      </c>
      <c r="Q70">
        <f t="shared" si="5"/>
        <v>0.62701288862853866</v>
      </c>
    </row>
    <row r="71" spans="1:17">
      <c r="A71" s="6"/>
      <c r="B71" s="6"/>
      <c r="C71" s="6"/>
      <c r="D71" s="6"/>
      <c r="O71" s="12">
        <v>1.07924</v>
      </c>
      <c r="P71" s="9">
        <f t="shared" si="4"/>
        <v>1.6650498886285388</v>
      </c>
      <c r="Q71">
        <f t="shared" si="5"/>
        <v>0.58580988862853878</v>
      </c>
    </row>
    <row r="72" spans="1:17">
      <c r="A72" s="6"/>
      <c r="B72" s="6"/>
      <c r="C72" s="6"/>
      <c r="D72" s="6"/>
      <c r="O72" s="11">
        <v>1.132118</v>
      </c>
      <c r="P72" s="9">
        <f t="shared" si="4"/>
        <v>1.6650498886285388</v>
      </c>
      <c r="Q72">
        <f t="shared" si="5"/>
        <v>0.5329318886285388</v>
      </c>
    </row>
    <row r="73" spans="1:17">
      <c r="A73" s="6"/>
      <c r="B73" s="6"/>
      <c r="C73" s="6"/>
      <c r="D73" s="6"/>
      <c r="O73" s="12">
        <v>1.1960729999999999</v>
      </c>
      <c r="P73" s="9">
        <f t="shared" si="4"/>
        <v>1.6650498886285388</v>
      </c>
      <c r="Q73">
        <f t="shared" si="5"/>
        <v>0.46897688862853881</v>
      </c>
    </row>
    <row r="74" spans="1:17">
      <c r="A74" s="6"/>
      <c r="B74" s="6"/>
      <c r="C74" s="6"/>
      <c r="D74" s="6"/>
      <c r="O74" s="11">
        <v>1.2684340000000001</v>
      </c>
      <c r="P74" s="9">
        <f t="shared" si="4"/>
        <v>1.6650498886285388</v>
      </c>
      <c r="Q74">
        <f t="shared" si="5"/>
        <v>0.39661588862853869</v>
      </c>
    </row>
    <row r="75" spans="1:17">
      <c r="A75" s="6"/>
      <c r="B75" s="6"/>
      <c r="C75" s="6"/>
      <c r="D75" s="6"/>
      <c r="O75" s="12">
        <v>1.348201</v>
      </c>
      <c r="P75" s="9">
        <f t="shared" si="4"/>
        <v>1.6650498886285388</v>
      </c>
      <c r="Q75">
        <f t="shared" si="5"/>
        <v>0.31684888862853877</v>
      </c>
    </row>
    <row r="76" spans="1:17">
      <c r="A76" s="6"/>
      <c r="B76" s="6"/>
      <c r="C76" s="6"/>
      <c r="D76" s="6"/>
      <c r="O76" s="11">
        <v>1.4342790000000001</v>
      </c>
      <c r="P76" s="9">
        <f t="shared" si="4"/>
        <v>1.6650498886285388</v>
      </c>
      <c r="Q76">
        <f t="shared" si="5"/>
        <v>0.23077088862853867</v>
      </c>
    </row>
    <row r="77" spans="1:17">
      <c r="A77" s="6"/>
      <c r="B77" s="6"/>
      <c r="C77" s="6"/>
      <c r="D77" s="6"/>
      <c r="O77" s="12">
        <v>1.5189090000000001</v>
      </c>
      <c r="P77" s="9">
        <f t="shared" si="4"/>
        <v>1.6650498886285388</v>
      </c>
      <c r="Q77">
        <f t="shared" si="5"/>
        <v>0.14614088862853869</v>
      </c>
    </row>
    <row r="78" spans="1:17">
      <c r="A78" s="6"/>
      <c r="B78" s="6"/>
      <c r="C78" s="6"/>
      <c r="D78" s="6"/>
      <c r="O78" s="11">
        <v>1.6050199999999999</v>
      </c>
      <c r="P78" s="9">
        <f t="shared" si="4"/>
        <v>1.6650498886285388</v>
      </c>
      <c r="Q78">
        <f t="shared" si="5"/>
        <v>6.0029888628538863E-2</v>
      </c>
    </row>
    <row r="79" spans="1:17">
      <c r="A79" s="6"/>
      <c r="B79" s="6"/>
      <c r="C79" s="6"/>
      <c r="D79" s="6"/>
      <c r="O79" s="12">
        <v>1.6916629999999999</v>
      </c>
      <c r="P79" s="9">
        <f t="shared" si="4"/>
        <v>1.6650498886285388</v>
      </c>
      <c r="Q79">
        <f t="shared" si="5"/>
        <v>2.6613111371461162E-2</v>
      </c>
    </row>
    <row r="80" spans="1:17">
      <c r="A80" s="6"/>
      <c r="B80" s="6"/>
      <c r="C80" s="6"/>
      <c r="D80" s="6"/>
      <c r="O80" s="11">
        <v>1.7673239999999999</v>
      </c>
      <c r="P80" s="9">
        <f t="shared" si="4"/>
        <v>1.6650498886285388</v>
      </c>
      <c r="Q80">
        <f t="shared" si="5"/>
        <v>0.10227411137146114</v>
      </c>
    </row>
    <row r="81" spans="1:17">
      <c r="A81" s="6"/>
      <c r="B81" s="6"/>
      <c r="C81" s="6"/>
      <c r="D81" s="6"/>
      <c r="O81" s="12">
        <v>1.8363989999999999</v>
      </c>
      <c r="P81" s="9">
        <f t="shared" si="4"/>
        <v>1.6650498886285388</v>
      </c>
      <c r="Q81">
        <f t="shared" si="5"/>
        <v>0.17134911137146114</v>
      </c>
    </row>
    <row r="82" spans="1:17">
      <c r="A82" s="6"/>
      <c r="B82" s="6"/>
      <c r="C82" s="6"/>
      <c r="D82" s="6"/>
      <c r="O82" s="11">
        <v>1.8971990000000001</v>
      </c>
      <c r="P82" s="9">
        <f t="shared" si="4"/>
        <v>1.6650498886285388</v>
      </c>
      <c r="Q82">
        <f t="shared" si="5"/>
        <v>0.23214911137146133</v>
      </c>
    </row>
    <row r="83" spans="1:17">
      <c r="A83" s="6"/>
      <c r="B83" s="6"/>
      <c r="C83" s="6"/>
      <c r="D83" s="6"/>
      <c r="O83" s="12">
        <v>1.944747</v>
      </c>
      <c r="P83" s="9">
        <f t="shared" si="4"/>
        <v>1.6650498886285388</v>
      </c>
      <c r="Q83">
        <f t="shared" si="5"/>
        <v>0.27969711137146125</v>
      </c>
    </row>
    <row r="84" spans="1:17">
      <c r="A84" s="6"/>
      <c r="B84" s="6"/>
      <c r="C84" s="6"/>
      <c r="D84" s="6"/>
      <c r="O84" s="11">
        <v>1.9747920000000001</v>
      </c>
      <c r="P84" s="9">
        <f t="shared" si="4"/>
        <v>1.6650498886285388</v>
      </c>
      <c r="Q84">
        <f t="shared" si="5"/>
        <v>0.30974211137146135</v>
      </c>
    </row>
    <row r="85" spans="1:17">
      <c r="A85" s="6"/>
      <c r="B85" s="6"/>
      <c r="C85" s="6"/>
      <c r="D85" s="6"/>
      <c r="O85" s="12">
        <v>1.9944519999999999</v>
      </c>
      <c r="P85" s="9">
        <f t="shared" si="4"/>
        <v>1.6650498886285388</v>
      </c>
      <c r="Q85">
        <f t="shared" si="5"/>
        <v>0.32940211137146114</v>
      </c>
    </row>
    <row r="86" spans="1:17">
      <c r="A86" s="6"/>
      <c r="B86" s="6"/>
      <c r="C86" s="6"/>
      <c r="D86" s="6"/>
      <c r="O86" s="11">
        <v>1.997447</v>
      </c>
      <c r="P86" s="9">
        <f t="shared" si="4"/>
        <v>1.6650498886285388</v>
      </c>
      <c r="Q86">
        <f t="shared" si="5"/>
        <v>0.33239711137146122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9D2B6-5382-499D-BE52-2E1865AE5AE6}">
  <dimension ref="A1:U86"/>
  <sheetViews>
    <sheetView tabSelected="1" workbookViewId="0">
      <selection activeCell="E7" sqref="E7"/>
    </sheetView>
  </sheetViews>
  <sheetFormatPr baseColWidth="10" defaultRowHeight="14.25"/>
  <sheetData>
    <row r="1" spans="1:19">
      <c r="A1" s="6" t="s">
        <v>10</v>
      </c>
      <c r="B1" s="6" t="s">
        <v>0</v>
      </c>
      <c r="C1" s="6" t="s">
        <v>11</v>
      </c>
      <c r="D1" s="6" t="s">
        <v>14</v>
      </c>
    </row>
    <row r="2" spans="1:19">
      <c r="A2" s="10">
        <v>90</v>
      </c>
      <c r="B2" s="10">
        <v>2.4825539999999999</v>
      </c>
      <c r="C2" s="6">
        <f>Tableau1367[[#This Row],[Angle \ deg ]]*PI()/180</f>
        <v>1.5707963267948966</v>
      </c>
      <c r="D2" s="6">
        <f>COS(Tableau1367[[#This Row],[Colonne1]])</f>
        <v>6.1257422745431001E-17</v>
      </c>
    </row>
    <row r="3" spans="1:19">
      <c r="A3" s="10">
        <v>64</v>
      </c>
      <c r="B3" s="10">
        <v>2.8550469999999999</v>
      </c>
      <c r="C3" s="6">
        <f>Tableau1367[[#This Row],[Angle \ deg ]]*PI()/180</f>
        <v>1.1170107212763709</v>
      </c>
      <c r="D3" s="6">
        <f>COS(Tableau1367[[#This Row],[Colonne1]])</f>
        <v>0.43837114678907746</v>
      </c>
    </row>
    <row r="4" spans="1:19">
      <c r="A4" s="10">
        <v>44</v>
      </c>
      <c r="B4" s="10">
        <v>3.0965539999999998</v>
      </c>
      <c r="C4" s="6">
        <f>Tableau1367[[#This Row],[Angle \ deg ]]*PI()/180</f>
        <v>0.76794487087750496</v>
      </c>
      <c r="D4" s="6">
        <f>COS(Tableau1367[[#This Row],[Colonne1]])</f>
        <v>0.71933980033865119</v>
      </c>
    </row>
    <row r="5" spans="1:19">
      <c r="A5" s="10">
        <v>37</v>
      </c>
      <c r="B5" s="10">
        <v>3.17075</v>
      </c>
      <c r="C5" s="6">
        <f>Tableau1367[[#This Row],[Angle \ deg ]]*PI()/180</f>
        <v>0.64577182323790194</v>
      </c>
      <c r="D5" s="6">
        <f>COS(Tableau1367[[#This Row],[Colonne1]])</f>
        <v>0.79863551004729283</v>
      </c>
    </row>
    <row r="6" spans="1:19">
      <c r="A6" s="10">
        <v>30</v>
      </c>
      <c r="B6" s="10">
        <v>3.231179</v>
      </c>
      <c r="C6" s="6">
        <f>Tableau1367[[#This Row],[Angle \ deg ]]*PI()/180</f>
        <v>0.52359877559829882</v>
      </c>
      <c r="D6" s="6">
        <f>COS(Tableau1367[[#This Row],[Colonne1]])</f>
        <v>0.86602540378443871</v>
      </c>
    </row>
    <row r="7" spans="1:19">
      <c r="A7" s="10">
        <v>24</v>
      </c>
      <c r="B7" s="10">
        <v>3.273075</v>
      </c>
      <c r="C7" s="6">
        <f>Tableau1367[[#This Row],[Angle \ deg ]]*PI()/180</f>
        <v>0.41887902047863906</v>
      </c>
      <c r="D7" s="6">
        <f>COS(Tableau1367[[#This Row],[Colonne1]])</f>
        <v>0.91354545764260087</v>
      </c>
      <c r="O7" s="1">
        <v>40</v>
      </c>
      <c r="P7" s="11">
        <v>1.8658170000000001</v>
      </c>
    </row>
    <row r="8" spans="1:19">
      <c r="A8" s="10">
        <v>17</v>
      </c>
      <c r="B8" s="10">
        <v>3.3121860000000001</v>
      </c>
      <c r="C8" s="6">
        <f>Tableau1367[[#This Row],[Angle \ deg ]]*PI()/180</f>
        <v>0.29670597283903605</v>
      </c>
      <c r="D8" s="6">
        <f>COS(Tableau1367[[#This Row],[Colonne1]])</f>
        <v>0.95630475596303544</v>
      </c>
      <c r="O8" s="3">
        <v>50</v>
      </c>
      <c r="P8" s="12">
        <v>1.8012980000000001</v>
      </c>
    </row>
    <row r="9" spans="1:19">
      <c r="A9" s="10">
        <v>12</v>
      </c>
      <c r="B9" s="10">
        <v>3.338238</v>
      </c>
      <c r="C9" s="6">
        <f>Tableau1367[[#This Row],[Angle \ deg ]]*PI()/180</f>
        <v>0.20943951023931953</v>
      </c>
      <c r="D9" s="6">
        <f>COS(Tableau1367[[#This Row],[Colonne1]])</f>
        <v>0.97814760073380569</v>
      </c>
      <c r="O9" s="1">
        <v>60</v>
      </c>
      <c r="P9" s="11">
        <v>1.7303869999999999</v>
      </c>
      <c r="R9" s="5" t="s">
        <v>1</v>
      </c>
      <c r="S9" s="5" t="s">
        <v>2</v>
      </c>
    </row>
    <row r="10" spans="1:19">
      <c r="A10" s="10">
        <v>6</v>
      </c>
      <c r="B10" s="10">
        <v>3.3533740000000001</v>
      </c>
      <c r="C10" s="6">
        <f>Tableau1367[[#This Row],[Angle \ deg ]]*PI()/180</f>
        <v>0.10471975511965977</v>
      </c>
      <c r="D10" s="6">
        <f>COS(Tableau1367[[#This Row],[Colonne1]])</f>
        <v>0.99452189536827329</v>
      </c>
      <c r="O10" s="3">
        <v>70</v>
      </c>
      <c r="P10" s="12">
        <v>1.650072</v>
      </c>
      <c r="R10" s="6">
        <f t="array" ref="R10:S11">LINEST(P7:P17,O7:O17,1,1)</f>
        <v>-7.9205081818181818E-3</v>
      </c>
      <c r="S10" s="6">
        <v>2.1941666454545454</v>
      </c>
    </row>
    <row r="11" spans="1:19">
      <c r="A11" s="10">
        <v>0</v>
      </c>
      <c r="B11" s="10">
        <v>3.3599589999999999</v>
      </c>
      <c r="C11" s="6">
        <f>Tableau1367[[#This Row],[Angle \ deg ]]*PI()/180</f>
        <v>0</v>
      </c>
      <c r="D11" s="6">
        <f>COS(Tableau1367[[#This Row],[Colonne1]])</f>
        <v>1</v>
      </c>
      <c r="O11" s="1">
        <v>80</v>
      </c>
      <c r="P11" s="11">
        <v>1.565024</v>
      </c>
      <c r="R11" s="6">
        <v>1.0256551688686574E-4</v>
      </c>
      <c r="S11" s="6">
        <v>9.7841267271972961E-3</v>
      </c>
    </row>
    <row r="12" spans="1:19">
      <c r="A12" s="10">
        <v>354</v>
      </c>
      <c r="B12" s="10">
        <v>3.3589929999999999</v>
      </c>
      <c r="C12" s="6">
        <f>Tableau1367[[#This Row],[Angle \ deg ]]*PI()/180</f>
        <v>6.1784655520599268</v>
      </c>
      <c r="D12" s="6">
        <f>COS(Tableau1367[[#This Row],[Colonne1]])</f>
        <v>0.99452189536827329</v>
      </c>
      <c r="O12" s="3">
        <v>90</v>
      </c>
      <c r="P12" s="12">
        <v>1.4802010000000001</v>
      </c>
      <c r="R12" s="5" t="s">
        <v>3</v>
      </c>
      <c r="S12" s="5" t="s">
        <v>4</v>
      </c>
    </row>
    <row r="13" spans="1:19">
      <c r="A13" s="10">
        <v>348</v>
      </c>
      <c r="B13" s="10">
        <v>3.3494929999999998</v>
      </c>
      <c r="C13" s="6">
        <f>Tableau1367[[#This Row],[Angle \ deg ]]*PI()/180</f>
        <v>6.0737457969402664</v>
      </c>
      <c r="D13" s="6">
        <f>COS(Tableau1367[[#This Row],[Colonne1]])</f>
        <v>0.97814760073380558</v>
      </c>
      <c r="O13" s="1">
        <v>100</v>
      </c>
      <c r="P13" s="11">
        <v>1.392174</v>
      </c>
    </row>
    <row r="14" spans="1:19">
      <c r="A14" s="10">
        <v>343</v>
      </c>
      <c r="B14" s="10">
        <v>3.3358880000000002</v>
      </c>
      <c r="C14" s="6">
        <f>Tableau1367[[#This Row],[Angle \ deg ]]*PI()/180</f>
        <v>5.9864793343405509</v>
      </c>
      <c r="D14" s="6">
        <f>COS(Tableau1367[[#This Row],[Colonne1]])</f>
        <v>0.95630475596303566</v>
      </c>
      <c r="O14" s="3">
        <v>110</v>
      </c>
      <c r="P14" s="12">
        <v>1.3101689999999999</v>
      </c>
    </row>
    <row r="15" spans="1:19">
      <c r="A15" s="10">
        <v>336</v>
      </c>
      <c r="B15" s="10">
        <v>3.304586</v>
      </c>
      <c r="C15" s="6">
        <f>Tableau1367[[#This Row],[Angle \ deg ]]*PI()/180</f>
        <v>5.8643062867009474</v>
      </c>
      <c r="D15" s="6">
        <f>COS(Tableau1367[[#This Row],[Colonne1]])</f>
        <v>0.91354545764260098</v>
      </c>
      <c r="O15" s="1">
        <v>120</v>
      </c>
      <c r="P15" s="11">
        <v>1.234202</v>
      </c>
    </row>
    <row r="16" spans="1:19">
      <c r="A16" s="10">
        <v>330</v>
      </c>
      <c r="B16" s="10">
        <v>3.2653629999999998</v>
      </c>
      <c r="C16" s="6">
        <f>Tableau1367[[#This Row],[Angle \ deg ]]*PI()/180</f>
        <v>5.7595865315812871</v>
      </c>
      <c r="D16" s="6">
        <f>COS(Tableau1367[[#This Row],[Colonne1]])</f>
        <v>0.86602540378443837</v>
      </c>
      <c r="O16" s="3">
        <v>130</v>
      </c>
      <c r="P16" s="12">
        <v>1.163001</v>
      </c>
    </row>
    <row r="17" spans="1:21">
      <c r="A17" s="10">
        <v>323</v>
      </c>
      <c r="B17" s="10">
        <v>3.216189</v>
      </c>
      <c r="C17" s="6">
        <f>Tableau1367[[#This Row],[Angle \ deg ]]*PI()/180</f>
        <v>5.6374134839416845</v>
      </c>
      <c r="D17" s="6">
        <f>COS(Tableau1367[[#This Row],[Colonne1]])</f>
        <v>0.79863551004729283</v>
      </c>
      <c r="O17" s="1">
        <v>140</v>
      </c>
      <c r="P17" s="11">
        <v>1.102185</v>
      </c>
    </row>
    <row r="18" spans="1:21">
      <c r="A18" s="10">
        <v>316</v>
      </c>
      <c r="B18" s="10">
        <v>3.1503169999999998</v>
      </c>
      <c r="C18" s="6">
        <f>Tableau1367[[#This Row],[Angle \ deg ]]*PI()/180</f>
        <v>5.5152404363020811</v>
      </c>
      <c r="D18" s="6">
        <f>COS(Tableau1367[[#This Row],[Colonne1]])</f>
        <v>0.71933980033865086</v>
      </c>
    </row>
    <row r="19" spans="1:21">
      <c r="A19" s="10">
        <v>307</v>
      </c>
      <c r="B19" s="10">
        <v>3.058265</v>
      </c>
      <c r="C19" s="6">
        <f>Tableau1367[[#This Row],[Angle \ deg ]]*PI()/180</f>
        <v>5.3581608036225914</v>
      </c>
      <c r="D19" s="6">
        <f>COS(Tableau1367[[#This Row],[Colonne1]])</f>
        <v>0.60181502315204793</v>
      </c>
    </row>
    <row r="20" spans="1:21">
      <c r="A20" s="10">
        <v>296</v>
      </c>
      <c r="B20" s="10">
        <v>2.9245410000000001</v>
      </c>
      <c r="C20" s="6">
        <f>Tableau1367[[#This Row],[Angle \ deg ]]*PI()/180</f>
        <v>5.1661745859032155</v>
      </c>
      <c r="D20" s="6">
        <f>COS(Tableau1367[[#This Row],[Colonne1]])</f>
        <v>0.4383711467890774</v>
      </c>
    </row>
    <row r="21" spans="1:21">
      <c r="A21" s="10">
        <v>270</v>
      </c>
      <c r="B21" s="10">
        <v>2.5572010000000001</v>
      </c>
      <c r="C21" s="6">
        <f>Tableau1367[[#This Row],[Angle \ deg ]]*PI()/180</f>
        <v>4.7123889803846897</v>
      </c>
      <c r="D21" s="6">
        <f>COS(Tableau1367[[#This Row],[Colonne1]])</f>
        <v>-1.83772268236293E-16</v>
      </c>
    </row>
    <row r="22" spans="1:21">
      <c r="A22" s="10">
        <v>0</v>
      </c>
      <c r="B22" s="10">
        <v>3.3627609999999999</v>
      </c>
      <c r="C22" s="6">
        <f>Tableau1367[[#This Row],[Angle \ deg ]]*PI()/180</f>
        <v>0</v>
      </c>
      <c r="D22" s="6">
        <f>COS(Tableau1367[[#This Row],[Colonne1]])</f>
        <v>1</v>
      </c>
    </row>
    <row r="23" spans="1:21">
      <c r="A23" s="10">
        <v>0</v>
      </c>
      <c r="B23" s="10">
        <v>3.3606029999999998</v>
      </c>
      <c r="C23" s="6">
        <f>Tableau1367[[#This Row],[Angle \ deg ]]*PI()/180</f>
        <v>0</v>
      </c>
      <c r="D23" s="6">
        <f>COS(Tableau1367[[#This Row],[Colonne1]])</f>
        <v>1</v>
      </c>
      <c r="R23" s="5" t="s">
        <v>7</v>
      </c>
    </row>
    <row r="24" spans="1:21">
      <c r="A24" s="10">
        <v>0</v>
      </c>
      <c r="B24" s="10">
        <v>3.3626320000000001</v>
      </c>
      <c r="C24" s="6">
        <f>Tableau1367[[#This Row],[Angle \ deg ]]*PI()/180</f>
        <v>0</v>
      </c>
      <c r="D24" s="6">
        <f>COS(Tableau1367[[#This Row],[Colonne1]])</f>
        <v>1</v>
      </c>
      <c r="O24" t="s">
        <v>5</v>
      </c>
      <c r="R24" s="6">
        <f>MAX(U25:U35)</f>
        <v>1.6230999999999662E-2</v>
      </c>
      <c r="U24" t="s">
        <v>6</v>
      </c>
    </row>
    <row r="25" spans="1:21">
      <c r="A25" s="10">
        <v>0</v>
      </c>
      <c r="B25" s="10">
        <v>3.3616980000000001</v>
      </c>
      <c r="C25" s="6">
        <f>Tableau1367[[#This Row],[Angle \ deg ]]*PI()/180</f>
        <v>0</v>
      </c>
      <c r="D25" s="6">
        <f>COS(Tableau1367[[#This Row],[Colonne1]])</f>
        <v>1</v>
      </c>
      <c r="O25" s="1">
        <v>40</v>
      </c>
      <c r="P25" s="2">
        <f>-0.0079*O25+2.1954</f>
        <v>1.8793999999999997</v>
      </c>
      <c r="R25" s="5" t="s">
        <v>8</v>
      </c>
      <c r="T25" s="1">
        <v>40</v>
      </c>
      <c r="U25">
        <f t="shared" ref="U25:U35" si="0">ABS(P7-P25)</f>
        <v>1.3582999999999679E-2</v>
      </c>
    </row>
    <row r="26" spans="1:21">
      <c r="A26" s="10">
        <v>0</v>
      </c>
      <c r="B26" s="10">
        <v>3.3629540000000002</v>
      </c>
      <c r="C26" s="6">
        <f>Tableau1367[[#This Row],[Angle \ deg ]]*PI()/180</f>
        <v>0</v>
      </c>
      <c r="D26" s="6">
        <f>COS(Tableau1367[[#This Row],[Colonne1]])</f>
        <v>1</v>
      </c>
      <c r="O26" s="3">
        <v>50</v>
      </c>
      <c r="P26" s="2">
        <f t="shared" ref="P26:P35" si="1">-0.0079*O26+2.1954</f>
        <v>1.8003999999999998</v>
      </c>
      <c r="R26" s="6">
        <f>P7-P17</f>
        <v>0.76363200000000009</v>
      </c>
      <c r="T26" s="3">
        <v>50</v>
      </c>
      <c r="U26">
        <f t="shared" si="0"/>
        <v>8.9800000000028746E-4</v>
      </c>
    </row>
    <row r="27" spans="1:21">
      <c r="A27" s="10">
        <v>0</v>
      </c>
      <c r="B27" s="10">
        <v>3.3613439999999999</v>
      </c>
      <c r="C27" s="6">
        <f>Tableau1367[[#This Row],[Angle \ deg ]]*PI()/180</f>
        <v>0</v>
      </c>
      <c r="D27" s="6">
        <f>COS(Tableau1367[[#This Row],[Colonne1]])</f>
        <v>1</v>
      </c>
      <c r="O27" s="1">
        <v>60</v>
      </c>
      <c r="P27" s="2">
        <f t="shared" si="1"/>
        <v>1.7213999999999998</v>
      </c>
      <c r="R27" s="6"/>
      <c r="T27" s="1">
        <v>60</v>
      </c>
      <c r="U27">
        <f t="shared" si="0"/>
        <v>8.9870000000000783E-3</v>
      </c>
    </row>
    <row r="28" spans="1:21">
      <c r="A28" s="10">
        <v>0</v>
      </c>
      <c r="B28" s="10">
        <v>3.3621490000000001</v>
      </c>
      <c r="C28" s="6">
        <f>Tableau1367[[#This Row],[Angle \ deg ]]*PI()/180</f>
        <v>0</v>
      </c>
      <c r="D28" s="6">
        <f>COS(Tableau1367[[#This Row],[Colonne1]])</f>
        <v>1</v>
      </c>
      <c r="O28" s="3">
        <v>70</v>
      </c>
      <c r="P28" s="2">
        <f t="shared" si="1"/>
        <v>1.6423999999999999</v>
      </c>
      <c r="R28" s="5" t="s">
        <v>9</v>
      </c>
      <c r="T28" s="3">
        <v>70</v>
      </c>
      <c r="U28">
        <f t="shared" si="0"/>
        <v>7.6720000000001232E-3</v>
      </c>
    </row>
    <row r="29" spans="1:21">
      <c r="A29" s="10">
        <v>0</v>
      </c>
      <c r="B29" s="10">
        <v>3.3599920000000001</v>
      </c>
      <c r="C29" s="6">
        <f>Tableau1367[[#This Row],[Angle \ deg ]]*PI()/180</f>
        <v>0</v>
      </c>
      <c r="D29" s="6">
        <f>COS(Tableau1367[[#This Row],[Colonne1]])</f>
        <v>1</v>
      </c>
      <c r="O29" s="1">
        <v>80</v>
      </c>
      <c r="P29" s="2">
        <f t="shared" si="1"/>
        <v>1.5633999999999997</v>
      </c>
      <c r="R29" s="6">
        <f>(R24/R26)*100</f>
        <v>2.1255002409537136</v>
      </c>
      <c r="T29" s="1">
        <v>80</v>
      </c>
      <c r="U29">
        <f t="shared" si="0"/>
        <v>1.6240000000002919E-3</v>
      </c>
    </row>
    <row r="30" spans="1:21">
      <c r="A30" s="10">
        <v>0</v>
      </c>
      <c r="B30" s="10">
        <v>3.3613759999999999</v>
      </c>
      <c r="C30" s="6">
        <f>Tableau1367[[#This Row],[Angle \ deg ]]*PI()/180</f>
        <v>0</v>
      </c>
      <c r="D30" s="6">
        <f>COS(Tableau1367[[#This Row],[Colonne1]])</f>
        <v>1</v>
      </c>
      <c r="O30" s="3">
        <v>90</v>
      </c>
      <c r="P30" s="2">
        <f t="shared" si="1"/>
        <v>1.4843999999999997</v>
      </c>
      <c r="T30" s="3">
        <v>90</v>
      </c>
      <c r="U30">
        <f t="shared" si="0"/>
        <v>4.1989999999996197E-3</v>
      </c>
    </row>
    <row r="31" spans="1:21">
      <c r="A31" s="10">
        <v>0</v>
      </c>
      <c r="B31" s="10">
        <v>3.3642259999999999</v>
      </c>
      <c r="C31" s="6">
        <f>Tableau1367[[#This Row],[Angle \ deg ]]*PI()/180</f>
        <v>0</v>
      </c>
      <c r="D31" s="6">
        <f>COS(Tableau1367[[#This Row],[Colonne1]])</f>
        <v>1</v>
      </c>
      <c r="O31" s="1">
        <v>100</v>
      </c>
      <c r="P31" s="2">
        <f t="shared" si="1"/>
        <v>1.4053999999999998</v>
      </c>
      <c r="T31" s="1">
        <v>100</v>
      </c>
      <c r="U31">
        <f t="shared" si="0"/>
        <v>1.3225999999999738E-2</v>
      </c>
    </row>
    <row r="32" spans="1:21">
      <c r="A32" s="10">
        <v>0</v>
      </c>
      <c r="B32" s="10">
        <v>3.3593150000000001</v>
      </c>
      <c r="C32" s="6">
        <f>Tableau1367[[#This Row],[Angle \ deg ]]*PI()/180</f>
        <v>0</v>
      </c>
      <c r="D32" s="6">
        <f>COS(Tableau1367[[#This Row],[Colonne1]])</f>
        <v>1</v>
      </c>
      <c r="O32" s="3">
        <v>110</v>
      </c>
      <c r="P32" s="2">
        <f t="shared" si="1"/>
        <v>1.3263999999999996</v>
      </c>
      <c r="T32" s="3">
        <v>110</v>
      </c>
      <c r="U32">
        <f t="shared" si="0"/>
        <v>1.6230999999999662E-2</v>
      </c>
    </row>
    <row r="33" spans="1:21">
      <c r="A33" s="10">
        <v>0</v>
      </c>
      <c r="B33" s="10">
        <v>3.3604590000000001</v>
      </c>
      <c r="C33" s="6">
        <f>Tableau1367[[#This Row],[Angle \ deg ]]*PI()/180</f>
        <v>0</v>
      </c>
      <c r="D33" s="6">
        <f>COS(Tableau1367[[#This Row],[Colonne1]])</f>
        <v>1</v>
      </c>
      <c r="O33" s="1">
        <v>120</v>
      </c>
      <c r="P33" s="2">
        <f t="shared" si="1"/>
        <v>1.2473999999999998</v>
      </c>
      <c r="T33" s="1">
        <v>120</v>
      </c>
      <c r="U33">
        <f t="shared" si="0"/>
        <v>1.3197999999999821E-2</v>
      </c>
    </row>
    <row r="34" spans="1:21">
      <c r="A34" s="10">
        <v>0</v>
      </c>
      <c r="B34" s="10">
        <v>3.360185</v>
      </c>
      <c r="C34" s="6">
        <f>Tableau1367[[#This Row],[Angle \ deg ]]*PI()/180</f>
        <v>0</v>
      </c>
      <c r="D34" s="6">
        <f>COS(Tableau1367[[#This Row],[Colonne1]])</f>
        <v>1</v>
      </c>
      <c r="O34" s="3">
        <v>130</v>
      </c>
      <c r="P34" s="2">
        <f t="shared" si="1"/>
        <v>1.1683999999999997</v>
      </c>
      <c r="T34" s="3">
        <v>130</v>
      </c>
      <c r="U34">
        <f t="shared" si="0"/>
        <v>5.3989999999997096E-3</v>
      </c>
    </row>
    <row r="35" spans="1:21">
      <c r="A35" s="10">
        <v>0</v>
      </c>
      <c r="B35" s="10">
        <v>3.3638720000000002</v>
      </c>
      <c r="C35" s="6">
        <f>Tableau1367[[#This Row],[Angle \ deg ]]*PI()/180</f>
        <v>0</v>
      </c>
      <c r="D35" s="6">
        <f>COS(Tableau1367[[#This Row],[Colonne1]])</f>
        <v>1</v>
      </c>
      <c r="O35" s="1">
        <v>140</v>
      </c>
      <c r="P35" s="2">
        <f t="shared" si="1"/>
        <v>1.0893999999999997</v>
      </c>
      <c r="T35" s="1">
        <v>140</v>
      </c>
      <c r="U35">
        <f t="shared" si="0"/>
        <v>1.2785000000000268E-2</v>
      </c>
    </row>
    <row r="36" spans="1:21">
      <c r="A36" s="10">
        <v>0</v>
      </c>
      <c r="B36" s="10">
        <v>3.3612639999999998</v>
      </c>
      <c r="C36" s="6">
        <f>Tableau1367[[#This Row],[Angle \ deg ]]*PI()/180</f>
        <v>0</v>
      </c>
      <c r="D36" s="6">
        <f>COS(Tableau1367[[#This Row],[Colonne1]])</f>
        <v>1</v>
      </c>
    </row>
    <row r="37" spans="1:21">
      <c r="A37" s="10">
        <v>0</v>
      </c>
      <c r="B37" s="10">
        <v>3.3592029999999999</v>
      </c>
      <c r="C37" s="6">
        <f>Tableau1367[[#This Row],[Angle \ deg ]]*PI()/180</f>
        <v>0</v>
      </c>
      <c r="D37" s="6">
        <f>COS(Tableau1367[[#This Row],[Colonne1]])</f>
        <v>1</v>
      </c>
    </row>
    <row r="38" spans="1:21">
      <c r="A38" s="10">
        <v>0</v>
      </c>
      <c r="B38" s="10">
        <v>3.3634210000000002</v>
      </c>
      <c r="C38" s="6">
        <f>Tableau1367[[#This Row],[Angle \ deg ]]*PI()/180</f>
        <v>0</v>
      </c>
      <c r="D38" s="6">
        <f>COS(Tableau1367[[#This Row],[Colonne1]])</f>
        <v>1</v>
      </c>
    </row>
    <row r="39" spans="1:21">
      <c r="C39" s="14">
        <f>Tableau1367[[#This Row],[Angle \ deg ]]*PI()/180</f>
        <v>0</v>
      </c>
      <c r="D39" s="14">
        <f>COS(Tableau1367[[#This Row],[Colonne1]])</f>
        <v>1</v>
      </c>
      <c r="O39" t="s">
        <v>13</v>
      </c>
      <c r="P39" t="s">
        <v>12</v>
      </c>
    </row>
    <row r="40" spans="1:21">
      <c r="A40" s="6"/>
      <c r="B40" s="6"/>
      <c r="C40" s="6"/>
      <c r="D40" s="6"/>
      <c r="O40" t="e">
        <f t="array" ref="O40:P41">LINEST(B2:B39,D2:D39,1,1)</f>
        <v>#VALUE!</v>
      </c>
      <c r="P40" t="e">
        <v>#VALUE!</v>
      </c>
    </row>
    <row r="41" spans="1:21">
      <c r="A41" s="6"/>
      <c r="B41" s="6"/>
      <c r="C41" s="6"/>
      <c r="D41" s="6"/>
      <c r="O41" t="e">
        <v>#VALUE!</v>
      </c>
      <c r="P41" t="e">
        <v>#VALUE!</v>
      </c>
    </row>
    <row r="42" spans="1:21">
      <c r="A42" s="6"/>
      <c r="B42" s="6"/>
      <c r="C42" s="6"/>
      <c r="D42" s="6"/>
      <c r="O42" t="s">
        <v>15</v>
      </c>
      <c r="P42" t="s">
        <v>16</v>
      </c>
    </row>
    <row r="43" spans="1:21">
      <c r="A43" s="6"/>
      <c r="B43" s="6"/>
      <c r="C43" s="6"/>
      <c r="D43" s="6"/>
    </row>
    <row r="44" spans="1:21">
      <c r="A44" s="6"/>
      <c r="B44" s="6"/>
      <c r="C44" s="6"/>
      <c r="D44" s="6"/>
    </row>
    <row r="45" spans="1:21">
      <c r="A45" s="6"/>
      <c r="B45" s="6"/>
      <c r="C45" s="6"/>
      <c r="D45" s="6"/>
    </row>
    <row r="46" spans="1:21">
      <c r="A46" s="6" t="s">
        <v>22</v>
      </c>
      <c r="B46" s="6" t="s">
        <v>23</v>
      </c>
      <c r="C46" s="6" t="s">
        <v>24</v>
      </c>
      <c r="D46" s="6"/>
    </row>
    <row r="47" spans="1:21">
      <c r="A47" s="6">
        <v>1</v>
      </c>
      <c r="B47" s="6">
        <f>ASIN(A47)</f>
        <v>1.5707963267948966</v>
      </c>
      <c r="C47" s="13">
        <f>DEGREES(B47)</f>
        <v>90</v>
      </c>
      <c r="D47" s="6"/>
    </row>
    <row r="48" spans="1:21">
      <c r="A48" s="6">
        <v>0.9</v>
      </c>
      <c r="B48" s="6">
        <f t="shared" ref="B48:B67" si="2">ASIN(A48)</f>
        <v>1.1197695149986342</v>
      </c>
      <c r="C48" s="13">
        <f t="shared" ref="C48:C67" si="3">DEGREES(B48)</f>
        <v>64.158067236832878</v>
      </c>
      <c r="D48" s="6"/>
    </row>
    <row r="49" spans="1:18">
      <c r="A49" s="6">
        <v>0.8</v>
      </c>
      <c r="B49" s="6">
        <f t="shared" si="2"/>
        <v>0.9272952180016123</v>
      </c>
      <c r="C49" s="13">
        <f t="shared" si="3"/>
        <v>53.130102354155987</v>
      </c>
      <c r="D49" s="6"/>
      <c r="O49" t="s">
        <v>19</v>
      </c>
      <c r="P49" t="s">
        <v>18</v>
      </c>
      <c r="Q49" t="s">
        <v>20</v>
      </c>
      <c r="R49" t="s">
        <v>21</v>
      </c>
    </row>
    <row r="50" spans="1:18">
      <c r="A50" s="6">
        <v>0.7</v>
      </c>
      <c r="B50" s="6">
        <f t="shared" si="2"/>
        <v>0.77539749661075308</v>
      </c>
      <c r="C50" s="13">
        <f t="shared" si="3"/>
        <v>44.427004000805709</v>
      </c>
      <c r="D50" s="6"/>
      <c r="O50" s="11">
        <v>1.9992179999999999</v>
      </c>
      <c r="P50" s="9" t="e">
        <f xml:space="preserve"> $O$40*D2+ $P$40</f>
        <v>#VALUE!</v>
      </c>
      <c r="Q50" t="e">
        <f>ABS(O50-P50)</f>
        <v>#VALUE!</v>
      </c>
      <c r="R50" t="e">
        <f>MAX(Q50:Q86)</f>
        <v>#VALUE!</v>
      </c>
    </row>
    <row r="51" spans="1:18">
      <c r="A51" s="6">
        <v>0.6</v>
      </c>
      <c r="B51" s="6">
        <f t="shared" si="2"/>
        <v>0.64350110879328437</v>
      </c>
      <c r="C51" s="13">
        <f t="shared" si="3"/>
        <v>36.86989764584402</v>
      </c>
      <c r="D51" s="6"/>
      <c r="O51" s="12">
        <v>1.9841310000000001</v>
      </c>
      <c r="P51" s="9" t="e">
        <f t="shared" ref="P51:P86" si="4" xml:space="preserve"> $O$40*D3+ $P$40</f>
        <v>#VALUE!</v>
      </c>
      <c r="Q51" t="e">
        <f t="shared" ref="Q51:Q86" si="5">ABS(O51-P51)</f>
        <v>#VALUE!</v>
      </c>
    </row>
    <row r="52" spans="1:18">
      <c r="A52" s="6">
        <v>0.5</v>
      </c>
      <c r="B52" s="6">
        <f t="shared" si="2"/>
        <v>0.52359877559829893</v>
      </c>
      <c r="C52" s="13">
        <f t="shared" si="3"/>
        <v>30.000000000000004</v>
      </c>
      <c r="D52" s="6"/>
      <c r="O52" s="11">
        <v>1.9580789999999999</v>
      </c>
      <c r="P52" s="9" t="e">
        <f t="shared" si="4"/>
        <v>#VALUE!</v>
      </c>
      <c r="Q52" t="e">
        <f t="shared" si="5"/>
        <v>#VALUE!</v>
      </c>
    </row>
    <row r="53" spans="1:18">
      <c r="A53" s="6">
        <v>0.4</v>
      </c>
      <c r="B53" s="6">
        <f t="shared" si="2"/>
        <v>0.41151684606748801</v>
      </c>
      <c r="C53" s="13">
        <f t="shared" si="3"/>
        <v>23.578178478201831</v>
      </c>
      <c r="D53" s="6"/>
      <c r="O53" s="12">
        <v>1.9194830000000001</v>
      </c>
      <c r="P53" s="9" t="e">
        <f t="shared" si="4"/>
        <v>#VALUE!</v>
      </c>
      <c r="Q53" t="e">
        <f t="shared" si="5"/>
        <v>#VALUE!</v>
      </c>
    </row>
    <row r="54" spans="1:18">
      <c r="A54" s="6">
        <v>0.3</v>
      </c>
      <c r="B54" s="6">
        <f t="shared" si="2"/>
        <v>0.30469265401539752</v>
      </c>
      <c r="C54" s="13">
        <f t="shared" si="3"/>
        <v>17.457603123722095</v>
      </c>
      <c r="D54" s="6"/>
      <c r="O54" s="11">
        <v>1.8658170000000001</v>
      </c>
      <c r="P54" s="9" t="e">
        <f t="shared" si="4"/>
        <v>#VALUE!</v>
      </c>
      <c r="Q54" t="e">
        <f t="shared" si="5"/>
        <v>#VALUE!</v>
      </c>
    </row>
    <row r="55" spans="1:18">
      <c r="A55" s="6">
        <v>0.2</v>
      </c>
      <c r="B55" s="6">
        <f t="shared" si="2"/>
        <v>0.20135792079033082</v>
      </c>
      <c r="C55" s="13">
        <f t="shared" si="3"/>
        <v>11.53695903281549</v>
      </c>
      <c r="D55" s="6"/>
      <c r="O55" s="12">
        <v>1.8012980000000001</v>
      </c>
      <c r="P55" s="9" t="e">
        <f t="shared" si="4"/>
        <v>#VALUE!</v>
      </c>
      <c r="Q55" t="e">
        <f t="shared" si="5"/>
        <v>#VALUE!</v>
      </c>
    </row>
    <row r="56" spans="1:18">
      <c r="A56" s="6">
        <v>0.1</v>
      </c>
      <c r="B56" s="6">
        <f t="shared" si="2"/>
        <v>0.1001674211615598</v>
      </c>
      <c r="C56" s="13">
        <f t="shared" si="3"/>
        <v>5.7391704772667866</v>
      </c>
      <c r="D56" s="6"/>
      <c r="O56" s="11">
        <v>1.7303869999999999</v>
      </c>
      <c r="P56" s="9" t="e">
        <f t="shared" si="4"/>
        <v>#VALUE!</v>
      </c>
      <c r="Q56" t="e">
        <f t="shared" si="5"/>
        <v>#VALUE!</v>
      </c>
    </row>
    <row r="57" spans="1:18">
      <c r="A57" s="6">
        <v>0</v>
      </c>
      <c r="B57" s="6">
        <f t="shared" si="2"/>
        <v>0</v>
      </c>
      <c r="C57" s="13">
        <f t="shared" si="3"/>
        <v>0</v>
      </c>
      <c r="D57" s="6"/>
      <c r="O57" s="12">
        <v>1.650072</v>
      </c>
      <c r="P57" s="9" t="e">
        <f t="shared" si="4"/>
        <v>#VALUE!</v>
      </c>
      <c r="Q57" t="e">
        <f t="shared" si="5"/>
        <v>#VALUE!</v>
      </c>
    </row>
    <row r="58" spans="1:18">
      <c r="A58" s="6">
        <v>-0.1</v>
      </c>
      <c r="B58" s="6">
        <f t="shared" si="2"/>
        <v>-0.1001674211615598</v>
      </c>
      <c r="C58" s="13">
        <f t="shared" si="3"/>
        <v>-5.7391704772667866</v>
      </c>
      <c r="D58" s="13">
        <f>360+C58</f>
        <v>354.26082952273322</v>
      </c>
      <c r="O58" s="11">
        <v>1.565024</v>
      </c>
      <c r="P58" s="9" t="e">
        <f t="shared" si="4"/>
        <v>#VALUE!</v>
      </c>
      <c r="Q58" t="e">
        <f t="shared" si="5"/>
        <v>#VALUE!</v>
      </c>
    </row>
    <row r="59" spans="1:18">
      <c r="A59" s="6">
        <v>-0.2</v>
      </c>
      <c r="B59" s="6">
        <f t="shared" si="2"/>
        <v>-0.20135792079033082</v>
      </c>
      <c r="C59" s="13">
        <f t="shared" si="3"/>
        <v>-11.53695903281549</v>
      </c>
      <c r="D59" s="13">
        <f t="shared" ref="D59:D67" si="6">360+C59</f>
        <v>348.4630409671845</v>
      </c>
      <c r="O59" s="12">
        <v>1.4802010000000001</v>
      </c>
      <c r="P59" s="9" t="e">
        <f t="shared" si="4"/>
        <v>#VALUE!</v>
      </c>
      <c r="Q59" t="e">
        <f t="shared" si="5"/>
        <v>#VALUE!</v>
      </c>
    </row>
    <row r="60" spans="1:18">
      <c r="A60" s="6">
        <v>-0.3</v>
      </c>
      <c r="B60" s="6">
        <f t="shared" si="2"/>
        <v>-0.30469265401539752</v>
      </c>
      <c r="C60" s="13">
        <f t="shared" si="3"/>
        <v>-17.457603123722095</v>
      </c>
      <c r="D60" s="13">
        <f t="shared" si="6"/>
        <v>342.54239687627791</v>
      </c>
      <c r="O60" s="11">
        <v>1.392174</v>
      </c>
      <c r="P60" s="9" t="e">
        <f t="shared" si="4"/>
        <v>#VALUE!</v>
      </c>
      <c r="Q60" t="e">
        <f t="shared" si="5"/>
        <v>#VALUE!</v>
      </c>
    </row>
    <row r="61" spans="1:18">
      <c r="A61" s="6">
        <v>-0.4</v>
      </c>
      <c r="B61" s="6">
        <f t="shared" si="2"/>
        <v>-0.41151684606748801</v>
      </c>
      <c r="C61" s="13">
        <f t="shared" si="3"/>
        <v>-23.578178478201831</v>
      </c>
      <c r="D61" s="13">
        <f t="shared" si="6"/>
        <v>336.42182152179817</v>
      </c>
      <c r="O61" s="12">
        <v>1.3101689999999999</v>
      </c>
      <c r="P61" s="9" t="e">
        <f t="shared" si="4"/>
        <v>#VALUE!</v>
      </c>
      <c r="Q61" t="e">
        <f t="shared" si="5"/>
        <v>#VALUE!</v>
      </c>
    </row>
    <row r="62" spans="1:18">
      <c r="A62" s="6">
        <v>-0.5</v>
      </c>
      <c r="B62" s="6">
        <f t="shared" si="2"/>
        <v>-0.52359877559829893</v>
      </c>
      <c r="C62" s="13">
        <f t="shared" si="3"/>
        <v>-30.000000000000004</v>
      </c>
      <c r="D62" s="13">
        <f t="shared" si="6"/>
        <v>330</v>
      </c>
      <c r="O62" s="11">
        <v>1.234202</v>
      </c>
      <c r="P62" s="9" t="e">
        <f t="shared" si="4"/>
        <v>#VALUE!</v>
      </c>
      <c r="Q62" t="e">
        <f t="shared" si="5"/>
        <v>#VALUE!</v>
      </c>
    </row>
    <row r="63" spans="1:18">
      <c r="A63" s="6">
        <v>-0.6</v>
      </c>
      <c r="B63" s="6">
        <f t="shared" si="2"/>
        <v>-0.64350110879328437</v>
      </c>
      <c r="C63" s="13">
        <f t="shared" si="3"/>
        <v>-36.86989764584402</v>
      </c>
      <c r="D63" s="13">
        <f t="shared" si="6"/>
        <v>323.13010235415595</v>
      </c>
      <c r="O63" s="12">
        <v>1.163001</v>
      </c>
      <c r="P63" s="9" t="e">
        <f t="shared" si="4"/>
        <v>#VALUE!</v>
      </c>
      <c r="Q63" t="e">
        <f t="shared" si="5"/>
        <v>#VALUE!</v>
      </c>
    </row>
    <row r="64" spans="1:18">
      <c r="A64" s="6">
        <v>-0.7</v>
      </c>
      <c r="B64" s="6">
        <f t="shared" si="2"/>
        <v>-0.77539749661075308</v>
      </c>
      <c r="C64" s="13">
        <f t="shared" si="3"/>
        <v>-44.427004000805709</v>
      </c>
      <c r="D64" s="13">
        <f t="shared" si="6"/>
        <v>315.57299599919429</v>
      </c>
      <c r="O64" s="11">
        <v>1.102185</v>
      </c>
      <c r="P64" s="9" t="e">
        <f t="shared" si="4"/>
        <v>#VALUE!</v>
      </c>
      <c r="Q64" t="e">
        <f t="shared" si="5"/>
        <v>#VALUE!</v>
      </c>
    </row>
    <row r="65" spans="1:17">
      <c r="A65" s="6">
        <v>-0.8</v>
      </c>
      <c r="B65" s="6">
        <f t="shared" si="2"/>
        <v>-0.9272952180016123</v>
      </c>
      <c r="C65" s="13">
        <f t="shared" si="3"/>
        <v>-53.130102354155987</v>
      </c>
      <c r="D65" s="13">
        <f t="shared" si="6"/>
        <v>306.86989764584399</v>
      </c>
      <c r="O65" s="12">
        <v>1.055571</v>
      </c>
      <c r="P65" s="9" t="e">
        <f t="shared" si="4"/>
        <v>#VALUE!</v>
      </c>
      <c r="Q65" t="e">
        <f t="shared" si="5"/>
        <v>#VALUE!</v>
      </c>
    </row>
    <row r="66" spans="1:17">
      <c r="A66" s="6">
        <v>-0.9</v>
      </c>
      <c r="B66" s="6">
        <f t="shared" si="2"/>
        <v>-1.119769514998634</v>
      </c>
      <c r="C66" s="13">
        <f t="shared" si="3"/>
        <v>-64.158067236832864</v>
      </c>
      <c r="D66" s="13">
        <f t="shared" si="6"/>
        <v>295.84193276316716</v>
      </c>
      <c r="O66" s="11">
        <v>1.0244629999999999</v>
      </c>
      <c r="P66" s="9" t="e">
        <f t="shared" si="4"/>
        <v>#VALUE!</v>
      </c>
      <c r="Q66" t="e">
        <f t="shared" si="5"/>
        <v>#VALUE!</v>
      </c>
    </row>
    <row r="67" spans="1:17">
      <c r="A67" s="6">
        <v>-1</v>
      </c>
      <c r="B67" s="6">
        <f t="shared" si="2"/>
        <v>-1.5707963267948966</v>
      </c>
      <c r="C67" s="13">
        <f t="shared" si="3"/>
        <v>-90</v>
      </c>
      <c r="D67" s="13">
        <f t="shared" si="6"/>
        <v>270</v>
      </c>
      <c r="O67" s="12">
        <v>1.0052859999999999</v>
      </c>
      <c r="P67" s="9" t="e">
        <f t="shared" si="4"/>
        <v>#VALUE!</v>
      </c>
      <c r="Q67" t="e">
        <f t="shared" si="5"/>
        <v>#VALUE!</v>
      </c>
    </row>
    <row r="68" spans="1:17">
      <c r="A68" s="6"/>
      <c r="B68" s="6"/>
      <c r="C68" s="6"/>
      <c r="D68" s="6"/>
      <c r="O68" s="11">
        <v>1.0028710000000001</v>
      </c>
      <c r="P68" s="9" t="e">
        <f t="shared" si="4"/>
        <v>#VALUE!</v>
      </c>
      <c r="Q68" t="e">
        <f t="shared" si="5"/>
        <v>#VALUE!</v>
      </c>
    </row>
    <row r="69" spans="1:17">
      <c r="A69" s="6"/>
      <c r="B69" s="6"/>
      <c r="C69" s="6"/>
      <c r="D69" s="6"/>
      <c r="O69" s="12">
        <v>1.0125</v>
      </c>
      <c r="P69" s="9" t="e">
        <f t="shared" si="4"/>
        <v>#VALUE!</v>
      </c>
      <c r="Q69" t="e">
        <f t="shared" si="5"/>
        <v>#VALUE!</v>
      </c>
    </row>
    <row r="70" spans="1:17">
      <c r="A70" s="6"/>
      <c r="B70" s="6"/>
      <c r="C70" s="6"/>
      <c r="D70" s="6"/>
      <c r="O70" s="11">
        <v>1.0380370000000001</v>
      </c>
      <c r="P70" s="9" t="e">
        <f t="shared" si="4"/>
        <v>#VALUE!</v>
      </c>
      <c r="Q70" t="e">
        <f t="shared" si="5"/>
        <v>#VALUE!</v>
      </c>
    </row>
    <row r="71" spans="1:17">
      <c r="A71" s="6"/>
      <c r="B71" s="6"/>
      <c r="C71" s="6"/>
      <c r="D71" s="6"/>
      <c r="O71" s="12">
        <v>1.07924</v>
      </c>
      <c r="P71" s="9" t="e">
        <f t="shared" si="4"/>
        <v>#VALUE!</v>
      </c>
      <c r="Q71" t="e">
        <f t="shared" si="5"/>
        <v>#VALUE!</v>
      </c>
    </row>
    <row r="72" spans="1:17">
      <c r="A72" s="6"/>
      <c r="B72" s="6"/>
      <c r="C72" s="6"/>
      <c r="D72" s="6"/>
      <c r="O72" s="11">
        <v>1.132118</v>
      </c>
      <c r="P72" s="9" t="e">
        <f t="shared" si="4"/>
        <v>#VALUE!</v>
      </c>
      <c r="Q72" t="e">
        <f t="shared" si="5"/>
        <v>#VALUE!</v>
      </c>
    </row>
    <row r="73" spans="1:17">
      <c r="A73" s="6"/>
      <c r="B73" s="6"/>
      <c r="C73" s="6"/>
      <c r="D73" s="6"/>
      <c r="O73" s="12">
        <v>1.1960729999999999</v>
      </c>
      <c r="P73" s="9" t="e">
        <f t="shared" si="4"/>
        <v>#VALUE!</v>
      </c>
      <c r="Q73" t="e">
        <f t="shared" si="5"/>
        <v>#VALUE!</v>
      </c>
    </row>
    <row r="74" spans="1:17">
      <c r="A74" s="6"/>
      <c r="B74" s="6"/>
      <c r="C74" s="6"/>
      <c r="D74" s="6"/>
      <c r="O74" s="11">
        <v>1.2684340000000001</v>
      </c>
      <c r="P74" s="9" t="e">
        <f t="shared" si="4"/>
        <v>#VALUE!</v>
      </c>
      <c r="Q74" t="e">
        <f t="shared" si="5"/>
        <v>#VALUE!</v>
      </c>
    </row>
    <row r="75" spans="1:17">
      <c r="A75" s="6"/>
      <c r="B75" s="6"/>
      <c r="C75" s="6"/>
      <c r="D75" s="6"/>
      <c r="O75" s="12">
        <v>1.348201</v>
      </c>
      <c r="P75" s="9" t="e">
        <f t="shared" si="4"/>
        <v>#VALUE!</v>
      </c>
      <c r="Q75" t="e">
        <f t="shared" si="5"/>
        <v>#VALUE!</v>
      </c>
    </row>
    <row r="76" spans="1:17">
      <c r="A76" s="6"/>
      <c r="B76" s="6"/>
      <c r="C76" s="6"/>
      <c r="D76" s="6"/>
      <c r="O76" s="11">
        <v>1.4342790000000001</v>
      </c>
      <c r="P76" s="9" t="e">
        <f t="shared" si="4"/>
        <v>#VALUE!</v>
      </c>
      <c r="Q76" t="e">
        <f t="shared" si="5"/>
        <v>#VALUE!</v>
      </c>
    </row>
    <row r="77" spans="1:17">
      <c r="A77" s="6"/>
      <c r="B77" s="6"/>
      <c r="C77" s="6"/>
      <c r="D77" s="6"/>
      <c r="O77" s="12">
        <v>1.5189090000000001</v>
      </c>
      <c r="P77" s="9" t="e">
        <f t="shared" si="4"/>
        <v>#VALUE!</v>
      </c>
      <c r="Q77" t="e">
        <f t="shared" si="5"/>
        <v>#VALUE!</v>
      </c>
    </row>
    <row r="78" spans="1:17">
      <c r="A78" s="6"/>
      <c r="B78" s="6"/>
      <c r="C78" s="6"/>
      <c r="D78" s="6"/>
      <c r="O78" s="11">
        <v>1.6050199999999999</v>
      </c>
      <c r="P78" s="9" t="e">
        <f t="shared" si="4"/>
        <v>#VALUE!</v>
      </c>
      <c r="Q78" t="e">
        <f t="shared" si="5"/>
        <v>#VALUE!</v>
      </c>
    </row>
    <row r="79" spans="1:17">
      <c r="A79" s="6"/>
      <c r="B79" s="6"/>
      <c r="C79" s="6"/>
      <c r="D79" s="6"/>
      <c r="O79" s="12">
        <v>1.6916629999999999</v>
      </c>
      <c r="P79" s="9" t="e">
        <f t="shared" si="4"/>
        <v>#VALUE!</v>
      </c>
      <c r="Q79" t="e">
        <f t="shared" si="5"/>
        <v>#VALUE!</v>
      </c>
    </row>
    <row r="80" spans="1:17">
      <c r="A80" s="6"/>
      <c r="B80" s="6"/>
      <c r="C80" s="6"/>
      <c r="D80" s="6"/>
      <c r="O80" s="11">
        <v>1.7673239999999999</v>
      </c>
      <c r="P80" s="9" t="e">
        <f t="shared" si="4"/>
        <v>#VALUE!</v>
      </c>
      <c r="Q80" t="e">
        <f t="shared" si="5"/>
        <v>#VALUE!</v>
      </c>
    </row>
    <row r="81" spans="1:17">
      <c r="A81" s="6"/>
      <c r="B81" s="6"/>
      <c r="C81" s="6"/>
      <c r="D81" s="6"/>
      <c r="O81" s="12">
        <v>1.8363989999999999</v>
      </c>
      <c r="P81" s="9" t="e">
        <f t="shared" si="4"/>
        <v>#VALUE!</v>
      </c>
      <c r="Q81" t="e">
        <f t="shared" si="5"/>
        <v>#VALUE!</v>
      </c>
    </row>
    <row r="82" spans="1:17">
      <c r="A82" s="6"/>
      <c r="B82" s="6"/>
      <c r="C82" s="6"/>
      <c r="D82" s="6"/>
      <c r="O82" s="11">
        <v>1.8971990000000001</v>
      </c>
      <c r="P82" s="9" t="e">
        <f t="shared" si="4"/>
        <v>#VALUE!</v>
      </c>
      <c r="Q82" t="e">
        <f t="shared" si="5"/>
        <v>#VALUE!</v>
      </c>
    </row>
    <row r="83" spans="1:17">
      <c r="A83" s="6"/>
      <c r="B83" s="6"/>
      <c r="C83" s="6"/>
      <c r="D83" s="6"/>
      <c r="O83" s="12">
        <v>1.944747</v>
      </c>
      <c r="P83" s="9" t="e">
        <f t="shared" si="4"/>
        <v>#VALUE!</v>
      </c>
      <c r="Q83" t="e">
        <f t="shared" si="5"/>
        <v>#VALUE!</v>
      </c>
    </row>
    <row r="84" spans="1:17">
      <c r="A84" s="6"/>
      <c r="B84" s="6"/>
      <c r="C84" s="6"/>
      <c r="D84" s="6"/>
      <c r="O84" s="11">
        <v>1.9747920000000001</v>
      </c>
      <c r="P84" s="9" t="e">
        <f t="shared" si="4"/>
        <v>#VALUE!</v>
      </c>
      <c r="Q84" t="e">
        <f t="shared" si="5"/>
        <v>#VALUE!</v>
      </c>
    </row>
    <row r="85" spans="1:17">
      <c r="A85" s="6"/>
      <c r="B85" s="6"/>
      <c r="C85" s="6"/>
      <c r="D85" s="6"/>
      <c r="O85" s="12">
        <v>1.9944519999999999</v>
      </c>
      <c r="P85" s="9" t="e">
        <f t="shared" si="4"/>
        <v>#VALUE!</v>
      </c>
      <c r="Q85" t="e">
        <f t="shared" si="5"/>
        <v>#VALUE!</v>
      </c>
    </row>
    <row r="86" spans="1:17">
      <c r="A86" s="6"/>
      <c r="B86" s="6"/>
      <c r="C86" s="6"/>
      <c r="D86" s="6"/>
      <c r="O86" s="11">
        <v>1.997447</v>
      </c>
      <c r="P86" s="9" t="e">
        <f t="shared" si="4"/>
        <v>#VALUE!</v>
      </c>
      <c r="Q86" t="e">
        <f t="shared" si="5"/>
        <v>#VALUE!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Exp1</vt:lpstr>
      <vt:lpstr>Exp2_1</vt:lpstr>
      <vt:lpstr>Exp2_3 (3V)</vt:lpstr>
      <vt:lpstr>Exp2_3 (2.5V)</vt:lpstr>
      <vt:lpstr>Exp2_3 (5V)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Thompson Colin (HES)</dc:creator>
  <cp:lastModifiedBy>Thompson Colin (HES)</cp:lastModifiedBy>
  <dcterms:created xsi:type="dcterms:W3CDTF">2026-02-19T08:18:14Z</dcterms:created>
  <dcterms:modified xsi:type="dcterms:W3CDTF">2026-02-19T11:04:47Z</dcterms:modified>
</cp:coreProperties>
</file>