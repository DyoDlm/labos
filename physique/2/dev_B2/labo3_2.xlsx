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h\OneDrive\Desktop\HEPIA\Physique\Labo 3.2\"/>
    </mc:Choice>
  </mc:AlternateContent>
  <xr:revisionPtr revIDLastSave="0" documentId="13_ncr:1_{D976E48C-6507-4051-8B6D-C12D5812F306}" xr6:coauthVersionLast="47" xr6:coauthVersionMax="47" xr10:uidLastSave="{00000000-0000-0000-0000-000000000000}"/>
  <bookViews>
    <workbookView xWindow="-110" yWindow="-110" windowWidth="19420" windowHeight="11500" activeTab="2" xr2:uid="{0B45E93E-D687-42B6-AF3E-131334E23EE6}"/>
  </bookViews>
  <sheets>
    <sheet name="Onde stationnaire de reflexion" sheetId="1" r:id="rId1"/>
    <sheet name="Polaristion par grille" sheetId="2" r:id="rId2"/>
    <sheet name="Pola. long. ondes optiqu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4" i="3"/>
  <c r="C4" i="3"/>
  <c r="C2" i="3"/>
  <c r="D4" i="2"/>
  <c r="D2" i="2"/>
  <c r="F5" i="1"/>
  <c r="A5" i="1"/>
</calcChain>
</file>

<file path=xl/sharedStrings.xml><?xml version="1.0" encoding="utf-8"?>
<sst xmlns="http://schemas.openxmlformats.org/spreadsheetml/2006/main" count="76" uniqueCount="56">
  <si>
    <t xml:space="preserve">a) </t>
  </si>
  <si>
    <t>On remarque que le capteur capte le mieux les ondes quand il est dirigé vers le tableau, parallèle au sol. Donc sur l'axe Ozy sur le schéma 3.5</t>
  </si>
  <si>
    <t xml:space="preserve">Onde polarisé verticalement car on ne recoit un signal que dans ce cas la </t>
  </si>
  <si>
    <r>
      <t xml:space="preserve">Distance x / cm </t>
    </r>
    <r>
      <rPr>
        <sz val="11"/>
        <color theme="1"/>
        <rFont val="Aptos Narrow"/>
        <family val="2"/>
      </rPr>
      <t>±0,3</t>
    </r>
  </si>
  <si>
    <t>Ueff \ mV</t>
  </si>
  <si>
    <t>Position \ cm</t>
  </si>
  <si>
    <t>E0</t>
  </si>
  <si>
    <t>f \ kHz</t>
  </si>
  <si>
    <t>Omega</t>
  </si>
  <si>
    <t>k</t>
  </si>
  <si>
    <t>lambda</t>
  </si>
  <si>
    <t xml:space="preserve">Maxima avec plaque </t>
  </si>
  <si>
    <t>Maxima sans plaque</t>
  </si>
  <si>
    <t xml:space="preserve">Minima avec plaque </t>
  </si>
  <si>
    <t xml:space="preserve">Minima sans plaque </t>
  </si>
  <si>
    <t>Upp / mV</t>
  </si>
  <si>
    <t>Position sur l'axe \ cm</t>
  </si>
  <si>
    <t>Upp / mV ±4</t>
  </si>
  <si>
    <t>Ueff \ mV ±2</t>
  </si>
  <si>
    <t xml:space="preserve">d) il ne s'est pas mis au plus proches mais aux minima et maxima comme nous a dit le prof </t>
  </si>
  <si>
    <t xml:space="preserve">e) On remplace la plaque par une grille, on remarque qu'en position vertical on est sur une onde </t>
  </si>
  <si>
    <t>Grille 45°</t>
  </si>
  <si>
    <t>Grille verticale 90°</t>
  </si>
  <si>
    <t>Grille horizontale 0°</t>
  </si>
  <si>
    <t>25°</t>
  </si>
  <si>
    <t>75°</t>
  </si>
  <si>
    <t>Sans grille</t>
  </si>
  <si>
    <t xml:space="preserve">Avec grille vertical, même principe qu'avec la plaque. Onde réfléchie, onde stationnaire </t>
  </si>
  <si>
    <t xml:space="preserve">Meme tendance mais pas les meme valeur. Horizontal </t>
  </si>
  <si>
    <r>
      <t xml:space="preserve">Angle </t>
    </r>
    <r>
      <rPr>
        <sz val="11"/>
        <color theme="1"/>
        <rFont val="Aptos Narrow"/>
        <family val="2"/>
      </rPr>
      <t>α</t>
    </r>
    <r>
      <rPr>
        <sz val="11"/>
        <color theme="1"/>
        <rFont val="Aptos Narrow"/>
        <family val="2"/>
        <scheme val="minor"/>
      </rPr>
      <t xml:space="preserve"> / ° ±2</t>
    </r>
  </si>
  <si>
    <t>Position sur l'axe du polariseur  \ cm</t>
  </si>
  <si>
    <t>Position sur l'axe de la diode  \ cm</t>
  </si>
  <si>
    <t xml:space="preserve">largeur support 5 cm </t>
  </si>
  <si>
    <t>Upp / mV ± beaucoup</t>
  </si>
  <si>
    <t>Ueff \ mV ±beaucoup</t>
  </si>
  <si>
    <t xml:space="preserve">Se baser plutôt sur le RMS qui semble plus précis pour cette mesure </t>
  </si>
  <si>
    <t>Ici ca commence a etre plus net</t>
  </si>
  <si>
    <t xml:space="preserve">Trop de bruit à nouveau </t>
  </si>
  <si>
    <t xml:space="preserve">Diode horizontale </t>
  </si>
  <si>
    <t xml:space="preserve">Diode verticale </t>
  </si>
  <si>
    <t>Bruit</t>
  </si>
  <si>
    <r>
      <t xml:space="preserve">Angle polariseur P1 / ° </t>
    </r>
    <r>
      <rPr>
        <sz val="11"/>
        <color theme="1"/>
        <rFont val="Aptos Narrow"/>
        <family val="2"/>
      </rPr>
      <t>±2</t>
    </r>
  </si>
  <si>
    <t xml:space="preserve">Max </t>
  </si>
  <si>
    <t xml:space="preserve">Min </t>
  </si>
  <si>
    <t xml:space="preserve">Il y a un peu de bruit qui cré un offset un peu </t>
  </si>
  <si>
    <t xml:space="preserve">Les valeurs mesurées sont négatives, on les a mis en valeurs absolues </t>
  </si>
  <si>
    <r>
      <t xml:space="preserve">U / mV </t>
    </r>
    <r>
      <rPr>
        <sz val="11"/>
        <color theme="1"/>
        <rFont val="Aptos Narrow"/>
        <family val="2"/>
      </rPr>
      <t>±2</t>
    </r>
  </si>
  <si>
    <t xml:space="preserve">Il y a une lumière ambiante qui fausse un peu la mesure </t>
  </si>
  <si>
    <r>
      <t xml:space="preserve">Angle polariseur P2 / ° </t>
    </r>
    <r>
      <rPr>
        <sz val="11"/>
        <color theme="1"/>
        <rFont val="Aptos Narrow"/>
        <family val="2"/>
      </rPr>
      <t>±2</t>
    </r>
  </si>
  <si>
    <t>Avec P1 à 260°</t>
  </si>
  <si>
    <r>
      <t xml:space="preserve">Angle polariseur Lambda/2 / ° </t>
    </r>
    <r>
      <rPr>
        <sz val="11"/>
        <color theme="1"/>
        <rFont val="Aptos Narrow"/>
        <family val="2"/>
      </rPr>
      <t>±2</t>
    </r>
  </si>
  <si>
    <t>Avec P1 à 260° et P2 à 234°</t>
  </si>
  <si>
    <r>
      <t xml:space="preserve">Angle polariseurP2 / ° </t>
    </r>
    <r>
      <rPr>
        <sz val="11"/>
        <color theme="1"/>
        <rFont val="Aptos Narrow"/>
        <family val="2"/>
      </rPr>
      <t>±2</t>
    </r>
  </si>
  <si>
    <t>57mV</t>
  </si>
  <si>
    <t>Avec P1 à 260° et L/4 à 12°</t>
  </si>
  <si>
    <t>Lambda/4 max à 12°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</si>
</sst>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5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'Onde stationnaire de reflexion'!$C$8:$C$48</c:f>
              <c:numCache>
                <c:formatCode>General</c:formatCode>
                <c:ptCount val="41"/>
                <c:pt idx="0">
                  <c:v>42.7</c:v>
                </c:pt>
                <c:pt idx="1">
                  <c:v>42.6</c:v>
                </c:pt>
                <c:pt idx="2">
                  <c:v>42.5</c:v>
                </c:pt>
                <c:pt idx="3">
                  <c:v>42.4</c:v>
                </c:pt>
                <c:pt idx="4">
                  <c:v>42.3</c:v>
                </c:pt>
                <c:pt idx="5">
                  <c:v>42.2</c:v>
                </c:pt>
                <c:pt idx="6">
                  <c:v>42.1</c:v>
                </c:pt>
                <c:pt idx="7">
                  <c:v>42</c:v>
                </c:pt>
                <c:pt idx="8">
                  <c:v>41.9</c:v>
                </c:pt>
                <c:pt idx="9">
                  <c:v>41.8</c:v>
                </c:pt>
                <c:pt idx="10">
                  <c:v>41.7</c:v>
                </c:pt>
                <c:pt idx="11">
                  <c:v>41.6</c:v>
                </c:pt>
                <c:pt idx="12">
                  <c:v>41.5</c:v>
                </c:pt>
                <c:pt idx="13">
                  <c:v>41.4</c:v>
                </c:pt>
                <c:pt idx="14">
                  <c:v>41.3</c:v>
                </c:pt>
                <c:pt idx="15">
                  <c:v>41.2</c:v>
                </c:pt>
                <c:pt idx="16">
                  <c:v>41.1</c:v>
                </c:pt>
                <c:pt idx="17">
                  <c:v>41</c:v>
                </c:pt>
                <c:pt idx="18">
                  <c:v>40.9</c:v>
                </c:pt>
                <c:pt idx="19">
                  <c:v>40.799999999999997</c:v>
                </c:pt>
                <c:pt idx="20">
                  <c:v>40.700000000000003</c:v>
                </c:pt>
                <c:pt idx="21">
                  <c:v>40.6</c:v>
                </c:pt>
                <c:pt idx="22">
                  <c:v>40.5</c:v>
                </c:pt>
                <c:pt idx="23">
                  <c:v>40.4</c:v>
                </c:pt>
                <c:pt idx="24">
                  <c:v>40.299999999999997</c:v>
                </c:pt>
                <c:pt idx="25">
                  <c:v>40.200000000000003</c:v>
                </c:pt>
                <c:pt idx="26">
                  <c:v>40.1</c:v>
                </c:pt>
                <c:pt idx="27">
                  <c:v>40</c:v>
                </c:pt>
                <c:pt idx="28">
                  <c:v>39.9</c:v>
                </c:pt>
                <c:pt idx="29">
                  <c:v>39.799999999999997</c:v>
                </c:pt>
                <c:pt idx="30">
                  <c:v>39.700000000000003</c:v>
                </c:pt>
                <c:pt idx="31">
                  <c:v>39.6</c:v>
                </c:pt>
                <c:pt idx="32">
                  <c:v>39.5</c:v>
                </c:pt>
                <c:pt idx="33">
                  <c:v>39.4</c:v>
                </c:pt>
                <c:pt idx="34">
                  <c:v>39.299999999999997</c:v>
                </c:pt>
                <c:pt idx="35">
                  <c:v>39.200000000000003</c:v>
                </c:pt>
                <c:pt idx="36">
                  <c:v>39.1</c:v>
                </c:pt>
                <c:pt idx="37">
                  <c:v>39</c:v>
                </c:pt>
                <c:pt idx="38">
                  <c:v>38.9</c:v>
                </c:pt>
                <c:pt idx="39">
                  <c:v>38.799999999999898</c:v>
                </c:pt>
                <c:pt idx="40">
                  <c:v>38.699999999999903</c:v>
                </c:pt>
              </c:numCache>
            </c:numRef>
          </c:xVal>
          <c:yVal>
            <c:numRef>
              <c:f>'Onde stationnaire de reflexion'!$A$8:$A$48</c:f>
              <c:numCache>
                <c:formatCode>General</c:formatCode>
                <c:ptCount val="41"/>
                <c:pt idx="0">
                  <c:v>261</c:v>
                </c:pt>
                <c:pt idx="1">
                  <c:v>235</c:v>
                </c:pt>
                <c:pt idx="2">
                  <c:v>181</c:v>
                </c:pt>
                <c:pt idx="3">
                  <c:v>177</c:v>
                </c:pt>
                <c:pt idx="4">
                  <c:v>169</c:v>
                </c:pt>
                <c:pt idx="5">
                  <c:v>193</c:v>
                </c:pt>
                <c:pt idx="6">
                  <c:v>197</c:v>
                </c:pt>
                <c:pt idx="7">
                  <c:v>212</c:v>
                </c:pt>
                <c:pt idx="8">
                  <c:v>240</c:v>
                </c:pt>
                <c:pt idx="9">
                  <c:v>269</c:v>
                </c:pt>
                <c:pt idx="10">
                  <c:v>294</c:v>
                </c:pt>
                <c:pt idx="11">
                  <c:v>323</c:v>
                </c:pt>
                <c:pt idx="12">
                  <c:v>342</c:v>
                </c:pt>
                <c:pt idx="13">
                  <c:v>356</c:v>
                </c:pt>
                <c:pt idx="14">
                  <c:v>354</c:v>
                </c:pt>
                <c:pt idx="15">
                  <c:v>335</c:v>
                </c:pt>
                <c:pt idx="16">
                  <c:v>308</c:v>
                </c:pt>
                <c:pt idx="17">
                  <c:v>271</c:v>
                </c:pt>
                <c:pt idx="18">
                  <c:v>229</c:v>
                </c:pt>
                <c:pt idx="19">
                  <c:v>201</c:v>
                </c:pt>
                <c:pt idx="20">
                  <c:v>181</c:v>
                </c:pt>
                <c:pt idx="21">
                  <c:v>191</c:v>
                </c:pt>
                <c:pt idx="22">
                  <c:v>205</c:v>
                </c:pt>
                <c:pt idx="23">
                  <c:v>223</c:v>
                </c:pt>
                <c:pt idx="24">
                  <c:v>263</c:v>
                </c:pt>
                <c:pt idx="25">
                  <c:v>297</c:v>
                </c:pt>
                <c:pt idx="26">
                  <c:v>324</c:v>
                </c:pt>
                <c:pt idx="27">
                  <c:v>360</c:v>
                </c:pt>
                <c:pt idx="28">
                  <c:v>382</c:v>
                </c:pt>
                <c:pt idx="29">
                  <c:v>406</c:v>
                </c:pt>
                <c:pt idx="30">
                  <c:v>402</c:v>
                </c:pt>
                <c:pt idx="31">
                  <c:v>386</c:v>
                </c:pt>
                <c:pt idx="32">
                  <c:v>358</c:v>
                </c:pt>
                <c:pt idx="33">
                  <c:v>316</c:v>
                </c:pt>
                <c:pt idx="34">
                  <c:v>277</c:v>
                </c:pt>
                <c:pt idx="35">
                  <c:v>241</c:v>
                </c:pt>
                <c:pt idx="36">
                  <c:v>230</c:v>
                </c:pt>
                <c:pt idx="37">
                  <c:v>239</c:v>
                </c:pt>
                <c:pt idx="38">
                  <c:v>255</c:v>
                </c:pt>
                <c:pt idx="39">
                  <c:v>287</c:v>
                </c:pt>
                <c:pt idx="40">
                  <c:v>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4-467A-A8B0-73BF4F346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529680"/>
        <c:axId val="2070309935"/>
      </c:scatterChart>
      <c:valAx>
        <c:axId val="28152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0309935"/>
        <c:crosses val="autoZero"/>
        <c:crossBetween val="midCat"/>
      </c:valAx>
      <c:valAx>
        <c:axId val="207030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152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'Pola. long. ondes optique'!$E$2:$E$37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'Pola. long. ondes optique'!$D$2:$D$37</c:f>
              <c:numCache>
                <c:formatCode>General</c:formatCode>
                <c:ptCount val="36"/>
                <c:pt idx="0">
                  <c:v>61</c:v>
                </c:pt>
                <c:pt idx="1">
                  <c:v>45</c:v>
                </c:pt>
                <c:pt idx="2">
                  <c:v>30</c:v>
                </c:pt>
                <c:pt idx="3">
                  <c:v>16</c:v>
                </c:pt>
                <c:pt idx="4">
                  <c:v>6</c:v>
                </c:pt>
                <c:pt idx="5">
                  <c:v>2</c:v>
                </c:pt>
                <c:pt idx="6">
                  <c:v>2</c:v>
                </c:pt>
                <c:pt idx="7">
                  <c:v>8</c:v>
                </c:pt>
                <c:pt idx="8">
                  <c:v>18</c:v>
                </c:pt>
                <c:pt idx="9">
                  <c:v>33</c:v>
                </c:pt>
                <c:pt idx="10">
                  <c:v>50</c:v>
                </c:pt>
                <c:pt idx="11">
                  <c:v>63</c:v>
                </c:pt>
                <c:pt idx="12">
                  <c:v>75</c:v>
                </c:pt>
                <c:pt idx="13">
                  <c:v>85</c:v>
                </c:pt>
                <c:pt idx="14">
                  <c:v>89</c:v>
                </c:pt>
                <c:pt idx="15">
                  <c:v>89</c:v>
                </c:pt>
                <c:pt idx="16">
                  <c:v>83</c:v>
                </c:pt>
                <c:pt idx="17">
                  <c:v>72</c:v>
                </c:pt>
                <c:pt idx="18">
                  <c:v>60</c:v>
                </c:pt>
                <c:pt idx="19">
                  <c:v>44</c:v>
                </c:pt>
                <c:pt idx="20">
                  <c:v>29</c:v>
                </c:pt>
                <c:pt idx="21">
                  <c:v>16</c:v>
                </c:pt>
                <c:pt idx="22">
                  <c:v>8</c:v>
                </c:pt>
                <c:pt idx="23">
                  <c:v>3</c:v>
                </c:pt>
                <c:pt idx="24">
                  <c:v>3</c:v>
                </c:pt>
                <c:pt idx="25">
                  <c:v>8</c:v>
                </c:pt>
                <c:pt idx="26">
                  <c:v>19</c:v>
                </c:pt>
                <c:pt idx="27">
                  <c:v>31</c:v>
                </c:pt>
                <c:pt idx="28">
                  <c:v>47</c:v>
                </c:pt>
                <c:pt idx="29">
                  <c:v>63</c:v>
                </c:pt>
                <c:pt idx="30">
                  <c:v>76</c:v>
                </c:pt>
                <c:pt idx="31">
                  <c:v>84</c:v>
                </c:pt>
                <c:pt idx="32">
                  <c:v>89</c:v>
                </c:pt>
                <c:pt idx="33">
                  <c:v>89</c:v>
                </c:pt>
                <c:pt idx="34">
                  <c:v>83</c:v>
                </c:pt>
                <c:pt idx="35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6-4BCE-9C65-F80B11ADE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283664"/>
        <c:axId val="1733284144"/>
      </c:scatterChart>
      <c:valAx>
        <c:axId val="173328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P2</a:t>
                </a:r>
                <a:r>
                  <a:rPr lang="fr-CH" baseline="0"/>
                  <a:t> / °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3284144"/>
        <c:crosses val="autoZero"/>
        <c:crossBetween val="midCat"/>
      </c:valAx>
      <c:valAx>
        <c:axId val="17332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U / mV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328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'Pola. long. ondes optique'!$J$2:$J$37</c:f>
              <c:strCache>
                <c:ptCount val="36"/>
                <c:pt idx="0">
                  <c:v>16</c:v>
                </c:pt>
                <c:pt idx="1">
                  <c:v>2</c:v>
                </c:pt>
                <c:pt idx="2">
                  <c:v>14</c:v>
                </c:pt>
                <c:pt idx="3">
                  <c:v>47</c:v>
                </c:pt>
                <c:pt idx="4">
                  <c:v>84</c:v>
                </c:pt>
                <c:pt idx="5">
                  <c:v>104</c:v>
                </c:pt>
                <c:pt idx="6">
                  <c:v>106</c:v>
                </c:pt>
                <c:pt idx="7">
                  <c:v>86</c:v>
                </c:pt>
                <c:pt idx="8">
                  <c:v>47</c:v>
                </c:pt>
                <c:pt idx="9">
                  <c:v>15</c:v>
                </c:pt>
                <c:pt idx="10">
                  <c:v>2</c:v>
                </c:pt>
                <c:pt idx="11">
                  <c:v>13</c:v>
                </c:pt>
                <c:pt idx="12">
                  <c:v>46</c:v>
                </c:pt>
                <c:pt idx="13">
                  <c:v>83</c:v>
                </c:pt>
                <c:pt idx="14">
                  <c:v>107</c:v>
                </c:pt>
                <c:pt idx="15">
                  <c:v>107</c:v>
                </c:pt>
                <c:pt idx="16">
                  <c:v>84</c:v>
                </c:pt>
                <c:pt idx="17">
                  <c:v>48</c:v>
                </c:pt>
                <c:pt idx="18">
                  <c:v>14</c:v>
                </c:pt>
                <c:pt idx="19">
                  <c:v>2</c:v>
                </c:pt>
                <c:pt idx="20">
                  <c:v>14</c:v>
                </c:pt>
                <c:pt idx="21">
                  <c:v>45</c:v>
                </c:pt>
                <c:pt idx="22">
                  <c:v>84</c:v>
                </c:pt>
                <c:pt idx="23">
                  <c:v>107</c:v>
                </c:pt>
                <c:pt idx="24">
                  <c:v>106</c:v>
                </c:pt>
                <c:pt idx="25">
                  <c:v>83</c:v>
                </c:pt>
                <c:pt idx="26">
                  <c:v>46</c:v>
                </c:pt>
                <c:pt idx="27">
                  <c:v>15</c:v>
                </c:pt>
                <c:pt idx="28">
                  <c:v>2</c:v>
                </c:pt>
                <c:pt idx="29">
                  <c:v>14</c:v>
                </c:pt>
                <c:pt idx="30">
                  <c:v>46</c:v>
                </c:pt>
                <c:pt idx="31">
                  <c:v>83</c:v>
                </c:pt>
                <c:pt idx="32">
                  <c:v>107</c:v>
                </c:pt>
                <c:pt idx="33">
                  <c:v>105</c:v>
                </c:pt>
                <c:pt idx="34">
                  <c:v>82</c:v>
                </c:pt>
                <c:pt idx="35">
                  <c:v>47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'Pola. long. ondes optique'!$K$2:$K$37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'Pola. long. ondes optique'!$J$2:$J$37</c:f>
              <c:numCache>
                <c:formatCode>General</c:formatCode>
                <c:ptCount val="36"/>
                <c:pt idx="0">
                  <c:v>16</c:v>
                </c:pt>
                <c:pt idx="1">
                  <c:v>2</c:v>
                </c:pt>
                <c:pt idx="2">
                  <c:v>14</c:v>
                </c:pt>
                <c:pt idx="3">
                  <c:v>47</c:v>
                </c:pt>
                <c:pt idx="4">
                  <c:v>84</c:v>
                </c:pt>
                <c:pt idx="5">
                  <c:v>104</c:v>
                </c:pt>
                <c:pt idx="6">
                  <c:v>106</c:v>
                </c:pt>
                <c:pt idx="7">
                  <c:v>86</c:v>
                </c:pt>
                <c:pt idx="8">
                  <c:v>47</c:v>
                </c:pt>
                <c:pt idx="9">
                  <c:v>15</c:v>
                </c:pt>
                <c:pt idx="10">
                  <c:v>2</c:v>
                </c:pt>
                <c:pt idx="11">
                  <c:v>13</c:v>
                </c:pt>
                <c:pt idx="12">
                  <c:v>46</c:v>
                </c:pt>
                <c:pt idx="13">
                  <c:v>83</c:v>
                </c:pt>
                <c:pt idx="14">
                  <c:v>107</c:v>
                </c:pt>
                <c:pt idx="15">
                  <c:v>107</c:v>
                </c:pt>
                <c:pt idx="16">
                  <c:v>84</c:v>
                </c:pt>
                <c:pt idx="17">
                  <c:v>48</c:v>
                </c:pt>
                <c:pt idx="18">
                  <c:v>14</c:v>
                </c:pt>
                <c:pt idx="19">
                  <c:v>2</c:v>
                </c:pt>
                <c:pt idx="20">
                  <c:v>14</c:v>
                </c:pt>
                <c:pt idx="21">
                  <c:v>45</c:v>
                </c:pt>
                <c:pt idx="22">
                  <c:v>84</c:v>
                </c:pt>
                <c:pt idx="23">
                  <c:v>107</c:v>
                </c:pt>
                <c:pt idx="24">
                  <c:v>106</c:v>
                </c:pt>
                <c:pt idx="25">
                  <c:v>83</c:v>
                </c:pt>
                <c:pt idx="26">
                  <c:v>46</c:v>
                </c:pt>
                <c:pt idx="27">
                  <c:v>15</c:v>
                </c:pt>
                <c:pt idx="28">
                  <c:v>2</c:v>
                </c:pt>
                <c:pt idx="29">
                  <c:v>14</c:v>
                </c:pt>
                <c:pt idx="30">
                  <c:v>46</c:v>
                </c:pt>
                <c:pt idx="31">
                  <c:v>83</c:v>
                </c:pt>
                <c:pt idx="32">
                  <c:v>107</c:v>
                </c:pt>
                <c:pt idx="33">
                  <c:v>105</c:v>
                </c:pt>
                <c:pt idx="34">
                  <c:v>82</c:v>
                </c:pt>
                <c:pt idx="35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7A-4B62-AC91-8F23BD089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29360"/>
        <c:axId val="185429840"/>
      </c:scatterChart>
      <c:valAx>
        <c:axId val="18542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</a:t>
                </a:r>
                <a:r>
                  <a:rPr lang="fr-CH" baseline="0"/>
                  <a:t> Lambda/2</a:t>
                </a:r>
                <a:endParaRPr lang="fr-CH"/>
              </a:p>
            </c:rich>
          </c:tx>
          <c:layout>
            <c:manualLayout>
              <c:xMode val="edge"/>
              <c:yMode val="edge"/>
              <c:x val="0.47009601924759403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429840"/>
        <c:crosses val="autoZero"/>
        <c:crossBetween val="midCat"/>
      </c:valAx>
      <c:valAx>
        <c:axId val="1854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U / mv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42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'Pola. long. ondes optique'!$P$2:$P$37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'Pola. long. ondes optique'!$O$2:$O$37</c:f>
              <c:numCache>
                <c:formatCode>General</c:formatCode>
                <c:ptCount val="36"/>
                <c:pt idx="0">
                  <c:v>49</c:v>
                </c:pt>
                <c:pt idx="1">
                  <c:v>50</c:v>
                </c:pt>
                <c:pt idx="2">
                  <c:v>52</c:v>
                </c:pt>
                <c:pt idx="3">
                  <c:v>54</c:v>
                </c:pt>
                <c:pt idx="4">
                  <c:v>57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62</c:v>
                </c:pt>
                <c:pt idx="9">
                  <c:v>62</c:v>
                </c:pt>
                <c:pt idx="10">
                  <c:v>60</c:v>
                </c:pt>
                <c:pt idx="11">
                  <c:v>58</c:v>
                </c:pt>
                <c:pt idx="12">
                  <c:v>56</c:v>
                </c:pt>
                <c:pt idx="13">
                  <c:v>53</c:v>
                </c:pt>
                <c:pt idx="14">
                  <c:v>51</c:v>
                </c:pt>
                <c:pt idx="15">
                  <c:v>49</c:v>
                </c:pt>
                <c:pt idx="16">
                  <c:v>47</c:v>
                </c:pt>
                <c:pt idx="17">
                  <c:v>47</c:v>
                </c:pt>
                <c:pt idx="18">
                  <c:v>48</c:v>
                </c:pt>
                <c:pt idx="19">
                  <c:v>50</c:v>
                </c:pt>
                <c:pt idx="20">
                  <c:v>52</c:v>
                </c:pt>
                <c:pt idx="21">
                  <c:v>55</c:v>
                </c:pt>
                <c:pt idx="22">
                  <c:v>58</c:v>
                </c:pt>
                <c:pt idx="23">
                  <c:v>60</c:v>
                </c:pt>
                <c:pt idx="24">
                  <c:v>61</c:v>
                </c:pt>
                <c:pt idx="25">
                  <c:v>62</c:v>
                </c:pt>
                <c:pt idx="26">
                  <c:v>62</c:v>
                </c:pt>
                <c:pt idx="27">
                  <c:v>61</c:v>
                </c:pt>
                <c:pt idx="28">
                  <c:v>59</c:v>
                </c:pt>
                <c:pt idx="29">
                  <c:v>57</c:v>
                </c:pt>
                <c:pt idx="30">
                  <c:v>55</c:v>
                </c:pt>
                <c:pt idx="31">
                  <c:v>53</c:v>
                </c:pt>
                <c:pt idx="32">
                  <c:v>50</c:v>
                </c:pt>
                <c:pt idx="33">
                  <c:v>49</c:v>
                </c:pt>
                <c:pt idx="34">
                  <c:v>48</c:v>
                </c:pt>
                <c:pt idx="35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89-4677-8976-2E4719013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288208"/>
        <c:axId val="291761296"/>
      </c:scatterChart>
      <c:valAx>
        <c:axId val="167628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P2 / 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1761296"/>
        <c:crosses val="autoZero"/>
        <c:crossBetween val="midCat"/>
      </c:valAx>
      <c:valAx>
        <c:axId val="2917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U / V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28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13</xdr:row>
      <xdr:rowOff>114300</xdr:rowOff>
    </xdr:from>
    <xdr:to>
      <xdr:col>9</xdr:col>
      <xdr:colOff>600075</xdr:colOff>
      <xdr:row>28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525D7D6-19D0-E52B-A336-8AEED1536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</xdr:colOff>
      <xdr:row>42</xdr:row>
      <xdr:rowOff>0</xdr:rowOff>
    </xdr:from>
    <xdr:to>
      <xdr:col>7</xdr:col>
      <xdr:colOff>136525</xdr:colOff>
      <xdr:row>56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3EEF3B5-C151-4FAC-8DA6-8B700D840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320675</xdr:colOff>
      <xdr:row>39</xdr:row>
      <xdr:rowOff>50800</xdr:rowOff>
    </xdr:from>
    <xdr:to>
      <xdr:col>13</xdr:col>
      <xdr:colOff>320675</xdr:colOff>
      <xdr:row>54</xdr:row>
      <xdr:rowOff>31750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733F6B8-0719-70EA-FEE8-8A2D837E6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371475</xdr:colOff>
      <xdr:row>6</xdr:row>
      <xdr:rowOff>158750</xdr:rowOff>
    </xdr:from>
    <xdr:to>
      <xdr:col>22</xdr:col>
      <xdr:colOff>371475</xdr:colOff>
      <xdr:row>21</xdr:row>
      <xdr:rowOff>139700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9E8FEEF-224F-9478-194F-BBD3D7BA6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9DA7-36DE-4107-BFD7-6549CA775FA3}">
  <dimension ref="A1:H48"/>
  <sheetViews>
    <sheetView workbookViewId="0">
      <selection activeCell="A7" sqref="A7:C7"/>
    </sheetView>
  </sheetViews>
  <sheetFormatPr baseColWidth="10" defaultRowHeight="14.5" x14ac:dyDescent="0.35"/>
  <cols>
    <col min="1" max="1" width="17.1796875" bestFit="1" customWidth="1"/>
    <col min="3" max="3" width="18.26953125" bestFit="1" customWidth="1"/>
  </cols>
  <sheetData>
    <row r="1" spans="1:8" x14ac:dyDescent="0.35">
      <c r="A1" t="s">
        <v>0</v>
      </c>
      <c r="B1" t="s">
        <v>1</v>
      </c>
    </row>
    <row r="2" spans="1:8" x14ac:dyDescent="0.35">
      <c r="B2" t="s">
        <v>2</v>
      </c>
    </row>
    <row r="4" spans="1:8" x14ac:dyDescent="0.35">
      <c r="A4" t="s">
        <v>3</v>
      </c>
      <c r="D4" t="s">
        <v>6</v>
      </c>
      <c r="E4" t="s">
        <v>7</v>
      </c>
      <c r="F4" t="s">
        <v>8</v>
      </c>
      <c r="G4" t="s">
        <v>10</v>
      </c>
      <c r="H4" t="s">
        <v>9</v>
      </c>
    </row>
    <row r="5" spans="1:8" x14ac:dyDescent="0.35">
      <c r="A5">
        <f>62-42.7+6.1+(1.2+1)/2</f>
        <v>26.5</v>
      </c>
      <c r="E5">
        <v>50</v>
      </c>
      <c r="F5">
        <f>2*PI()*E5*1000</f>
        <v>314159.26535897935</v>
      </c>
    </row>
    <row r="7" spans="1:8" x14ac:dyDescent="0.35">
      <c r="A7" t="s">
        <v>17</v>
      </c>
      <c r="B7" t="s">
        <v>18</v>
      </c>
      <c r="C7" t="s">
        <v>16</v>
      </c>
      <c r="E7" t="s">
        <v>15</v>
      </c>
      <c r="F7" t="s">
        <v>4</v>
      </c>
      <c r="G7" t="s">
        <v>5</v>
      </c>
      <c r="H7" s="1" t="s">
        <v>19</v>
      </c>
    </row>
    <row r="8" spans="1:8" x14ac:dyDescent="0.35">
      <c r="A8">
        <v>261</v>
      </c>
      <c r="B8">
        <v>165</v>
      </c>
      <c r="C8">
        <v>42.7</v>
      </c>
      <c r="E8">
        <v>388</v>
      </c>
      <c r="F8">
        <v>241</v>
      </c>
      <c r="G8">
        <v>39.799999999999997</v>
      </c>
      <c r="H8" t="s">
        <v>11</v>
      </c>
    </row>
    <row r="9" spans="1:8" x14ac:dyDescent="0.35">
      <c r="A9">
        <v>235</v>
      </c>
      <c r="B9">
        <v>143</v>
      </c>
      <c r="C9">
        <v>42.6</v>
      </c>
      <c r="E9">
        <v>275</v>
      </c>
      <c r="F9">
        <v>167</v>
      </c>
      <c r="G9">
        <v>39.799999999999997</v>
      </c>
      <c r="H9" t="s">
        <v>12</v>
      </c>
    </row>
    <row r="10" spans="1:8" x14ac:dyDescent="0.35">
      <c r="A10">
        <v>181</v>
      </c>
      <c r="B10">
        <v>104</v>
      </c>
      <c r="C10">
        <v>42.5</v>
      </c>
      <c r="E10">
        <v>178</v>
      </c>
      <c r="F10">
        <v>104</v>
      </c>
      <c r="G10">
        <v>42.3</v>
      </c>
      <c r="H10" t="s">
        <v>13</v>
      </c>
    </row>
    <row r="11" spans="1:8" x14ac:dyDescent="0.35">
      <c r="A11">
        <v>177</v>
      </c>
      <c r="B11">
        <v>101</v>
      </c>
      <c r="C11">
        <v>42.4</v>
      </c>
      <c r="E11">
        <v>219</v>
      </c>
      <c r="F11">
        <v>125</v>
      </c>
      <c r="G11">
        <v>42.3</v>
      </c>
      <c r="H11" t="s">
        <v>14</v>
      </c>
    </row>
    <row r="12" spans="1:8" x14ac:dyDescent="0.35">
      <c r="A12">
        <v>169</v>
      </c>
      <c r="B12">
        <v>97</v>
      </c>
      <c r="C12">
        <v>42.3</v>
      </c>
    </row>
    <row r="13" spans="1:8" x14ac:dyDescent="0.35">
      <c r="A13">
        <v>193</v>
      </c>
      <c r="B13">
        <v>110</v>
      </c>
      <c r="C13">
        <v>42.2</v>
      </c>
    </row>
    <row r="14" spans="1:8" x14ac:dyDescent="0.35">
      <c r="A14">
        <v>197</v>
      </c>
      <c r="B14">
        <v>118</v>
      </c>
      <c r="C14">
        <v>42.1</v>
      </c>
    </row>
    <row r="15" spans="1:8" x14ac:dyDescent="0.35">
      <c r="A15">
        <v>212</v>
      </c>
      <c r="B15">
        <v>130</v>
      </c>
      <c r="C15">
        <v>42</v>
      </c>
    </row>
    <row r="16" spans="1:8" x14ac:dyDescent="0.35">
      <c r="A16">
        <v>240</v>
      </c>
      <c r="B16">
        <v>146</v>
      </c>
      <c r="C16">
        <v>41.9</v>
      </c>
    </row>
    <row r="17" spans="1:5" x14ac:dyDescent="0.35">
      <c r="A17">
        <v>269</v>
      </c>
      <c r="B17">
        <v>162</v>
      </c>
      <c r="C17">
        <v>41.8</v>
      </c>
    </row>
    <row r="18" spans="1:5" x14ac:dyDescent="0.35">
      <c r="A18">
        <v>294</v>
      </c>
      <c r="B18">
        <v>179</v>
      </c>
      <c r="C18">
        <v>41.7</v>
      </c>
    </row>
    <row r="19" spans="1:5" x14ac:dyDescent="0.35">
      <c r="A19">
        <v>323</v>
      </c>
      <c r="B19">
        <v>198</v>
      </c>
      <c r="C19">
        <v>41.6</v>
      </c>
    </row>
    <row r="20" spans="1:5" x14ac:dyDescent="0.35">
      <c r="A20">
        <v>342</v>
      </c>
      <c r="B20">
        <v>207</v>
      </c>
      <c r="C20">
        <v>41.5</v>
      </c>
    </row>
    <row r="21" spans="1:5" x14ac:dyDescent="0.35">
      <c r="A21">
        <v>356</v>
      </c>
      <c r="B21">
        <v>222</v>
      </c>
      <c r="C21">
        <v>41.4</v>
      </c>
    </row>
    <row r="22" spans="1:5" x14ac:dyDescent="0.35">
      <c r="A22">
        <v>354</v>
      </c>
      <c r="B22">
        <v>222</v>
      </c>
      <c r="C22">
        <v>41.3</v>
      </c>
    </row>
    <row r="23" spans="1:5" x14ac:dyDescent="0.35">
      <c r="A23">
        <v>335</v>
      </c>
      <c r="B23">
        <v>214</v>
      </c>
      <c r="C23">
        <v>41.2</v>
      </c>
    </row>
    <row r="24" spans="1:5" x14ac:dyDescent="0.35">
      <c r="A24">
        <v>308</v>
      </c>
      <c r="B24">
        <v>190</v>
      </c>
      <c r="C24">
        <v>41.1</v>
      </c>
    </row>
    <row r="25" spans="1:5" x14ac:dyDescent="0.35">
      <c r="A25">
        <v>271</v>
      </c>
      <c r="B25">
        <v>171</v>
      </c>
      <c r="C25">
        <v>41</v>
      </c>
    </row>
    <row r="26" spans="1:5" x14ac:dyDescent="0.35">
      <c r="A26">
        <v>229</v>
      </c>
      <c r="B26">
        <v>139</v>
      </c>
      <c r="C26">
        <v>40.9</v>
      </c>
    </row>
    <row r="27" spans="1:5" x14ac:dyDescent="0.35">
      <c r="A27">
        <v>201</v>
      </c>
      <c r="B27">
        <v>121</v>
      </c>
      <c r="C27">
        <v>40.799999999999997</v>
      </c>
    </row>
    <row r="28" spans="1:5" x14ac:dyDescent="0.35">
      <c r="A28">
        <v>181</v>
      </c>
      <c r="B28">
        <v>110</v>
      </c>
      <c r="C28">
        <v>40.700000000000003</v>
      </c>
    </row>
    <row r="29" spans="1:5" x14ac:dyDescent="0.35">
      <c r="A29">
        <v>191</v>
      </c>
      <c r="B29">
        <v>111</v>
      </c>
      <c r="C29">
        <v>40.6</v>
      </c>
    </row>
    <row r="30" spans="1:5" x14ac:dyDescent="0.35">
      <c r="A30">
        <v>205</v>
      </c>
      <c r="B30">
        <v>121</v>
      </c>
      <c r="C30">
        <v>40.5</v>
      </c>
    </row>
    <row r="31" spans="1:5" x14ac:dyDescent="0.35">
      <c r="A31">
        <v>223</v>
      </c>
      <c r="B31">
        <v>132</v>
      </c>
      <c r="C31">
        <v>40.4</v>
      </c>
    </row>
    <row r="32" spans="1:5" x14ac:dyDescent="0.35">
      <c r="A32">
        <v>263</v>
      </c>
      <c r="B32">
        <v>154</v>
      </c>
      <c r="C32">
        <v>40.299999999999997</v>
      </c>
      <c r="E32" s="1" t="s">
        <v>20</v>
      </c>
    </row>
    <row r="33" spans="1:8" x14ac:dyDescent="0.35">
      <c r="A33">
        <v>297</v>
      </c>
      <c r="B33">
        <v>178</v>
      </c>
      <c r="C33">
        <v>40.200000000000003</v>
      </c>
      <c r="E33" t="s">
        <v>15</v>
      </c>
      <c r="F33" t="s">
        <v>4</v>
      </c>
      <c r="G33" t="s">
        <v>5</v>
      </c>
    </row>
    <row r="34" spans="1:8" x14ac:dyDescent="0.35">
      <c r="A34">
        <v>324</v>
      </c>
      <c r="B34">
        <v>197</v>
      </c>
      <c r="C34">
        <v>40.1</v>
      </c>
      <c r="E34">
        <v>237</v>
      </c>
      <c r="F34">
        <v>133</v>
      </c>
      <c r="H34" t="s">
        <v>26</v>
      </c>
    </row>
    <row r="35" spans="1:8" x14ac:dyDescent="0.35">
      <c r="A35">
        <v>360</v>
      </c>
      <c r="B35">
        <v>220</v>
      </c>
      <c r="C35">
        <v>40</v>
      </c>
      <c r="E35">
        <v>334</v>
      </c>
      <c r="F35">
        <v>206</v>
      </c>
      <c r="G35">
        <v>42.3</v>
      </c>
      <c r="H35" t="s">
        <v>22</v>
      </c>
    </row>
    <row r="36" spans="1:8" x14ac:dyDescent="0.35">
      <c r="A36">
        <v>382</v>
      </c>
      <c r="B36">
        <v>230</v>
      </c>
      <c r="C36">
        <v>39.9</v>
      </c>
      <c r="E36">
        <v>303</v>
      </c>
      <c r="F36">
        <v>184</v>
      </c>
      <c r="G36">
        <v>42.3</v>
      </c>
      <c r="H36" t="s">
        <v>21</v>
      </c>
    </row>
    <row r="37" spans="1:8" x14ac:dyDescent="0.35">
      <c r="A37">
        <v>406</v>
      </c>
      <c r="B37">
        <v>248</v>
      </c>
      <c r="C37">
        <v>39.799999999999997</v>
      </c>
      <c r="E37">
        <v>278</v>
      </c>
      <c r="F37">
        <v>155</v>
      </c>
      <c r="G37">
        <v>42.3</v>
      </c>
      <c r="H37" t="s">
        <v>23</v>
      </c>
    </row>
    <row r="38" spans="1:8" x14ac:dyDescent="0.35">
      <c r="A38">
        <v>402</v>
      </c>
      <c r="B38">
        <v>246</v>
      </c>
      <c r="C38">
        <v>39.700000000000003</v>
      </c>
      <c r="E38">
        <v>281</v>
      </c>
      <c r="F38">
        <v>154</v>
      </c>
      <c r="G38">
        <v>42.3</v>
      </c>
      <c r="H38" t="s">
        <v>24</v>
      </c>
    </row>
    <row r="39" spans="1:8" x14ac:dyDescent="0.35">
      <c r="A39">
        <v>386</v>
      </c>
      <c r="B39">
        <v>240</v>
      </c>
      <c r="C39">
        <v>39.6</v>
      </c>
      <c r="E39">
        <v>326</v>
      </c>
      <c r="F39">
        <v>186</v>
      </c>
      <c r="G39">
        <v>42.3</v>
      </c>
      <c r="H39" t="s">
        <v>25</v>
      </c>
    </row>
    <row r="40" spans="1:8" x14ac:dyDescent="0.35">
      <c r="A40">
        <v>358</v>
      </c>
      <c r="B40">
        <v>220</v>
      </c>
      <c r="C40">
        <v>39.5</v>
      </c>
    </row>
    <row r="41" spans="1:8" x14ac:dyDescent="0.35">
      <c r="A41">
        <v>316</v>
      </c>
      <c r="B41">
        <v>197</v>
      </c>
      <c r="C41">
        <v>39.4</v>
      </c>
      <c r="E41" t="s">
        <v>27</v>
      </c>
    </row>
    <row r="42" spans="1:8" x14ac:dyDescent="0.35">
      <c r="A42">
        <v>277</v>
      </c>
      <c r="B42">
        <v>170</v>
      </c>
      <c r="C42">
        <v>39.299999999999997</v>
      </c>
      <c r="E42" t="s">
        <v>28</v>
      </c>
    </row>
    <row r="43" spans="1:8" x14ac:dyDescent="0.35">
      <c r="A43">
        <v>241</v>
      </c>
      <c r="B43">
        <v>154</v>
      </c>
      <c r="C43">
        <v>39.200000000000003</v>
      </c>
    </row>
    <row r="44" spans="1:8" x14ac:dyDescent="0.35">
      <c r="A44">
        <v>230</v>
      </c>
      <c r="B44">
        <v>144</v>
      </c>
      <c r="C44">
        <v>39.1</v>
      </c>
    </row>
    <row r="45" spans="1:8" x14ac:dyDescent="0.35">
      <c r="A45">
        <v>239</v>
      </c>
      <c r="B45">
        <v>149</v>
      </c>
      <c r="C45">
        <v>39</v>
      </c>
    </row>
    <row r="46" spans="1:8" x14ac:dyDescent="0.35">
      <c r="A46">
        <v>255</v>
      </c>
      <c r="B46">
        <v>158</v>
      </c>
      <c r="C46">
        <v>38.9</v>
      </c>
    </row>
    <row r="47" spans="1:8" x14ac:dyDescent="0.35">
      <c r="A47">
        <v>287</v>
      </c>
      <c r="B47">
        <v>177</v>
      </c>
      <c r="C47">
        <v>38.799999999999898</v>
      </c>
    </row>
    <row r="48" spans="1:8" x14ac:dyDescent="0.35">
      <c r="A48">
        <v>326</v>
      </c>
      <c r="B48">
        <v>204</v>
      </c>
      <c r="C48">
        <v>38.699999999999903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F271-8AF2-4D36-BCCE-04BC0A398F0E}">
  <dimension ref="A1:J46"/>
  <sheetViews>
    <sheetView workbookViewId="0">
      <selection activeCell="G47" sqref="G47"/>
    </sheetView>
  </sheetViews>
  <sheetFormatPr baseColWidth="10" defaultRowHeight="14.5" x14ac:dyDescent="0.35"/>
  <cols>
    <col min="7" max="7" width="17.90625" bestFit="1" customWidth="1"/>
    <col min="8" max="8" width="17.6328125" bestFit="1" customWidth="1"/>
  </cols>
  <sheetData>
    <row r="1" spans="1:10" x14ac:dyDescent="0.35">
      <c r="A1" t="s">
        <v>33</v>
      </c>
      <c r="B1" t="s">
        <v>34</v>
      </c>
      <c r="C1" t="s">
        <v>29</v>
      </c>
      <c r="D1" t="s">
        <v>30</v>
      </c>
      <c r="G1" t="s">
        <v>33</v>
      </c>
      <c r="H1" t="s">
        <v>34</v>
      </c>
      <c r="I1" t="s">
        <v>29</v>
      </c>
      <c r="J1" t="s">
        <v>38</v>
      </c>
    </row>
    <row r="2" spans="1:10" x14ac:dyDescent="0.35">
      <c r="A2">
        <v>15</v>
      </c>
      <c r="B2">
        <v>0</v>
      </c>
      <c r="C2">
        <v>90</v>
      </c>
      <c r="D2">
        <f>32.3-5/2</f>
        <v>29.799999999999997</v>
      </c>
      <c r="G2">
        <v>1.2</v>
      </c>
      <c r="H2">
        <v>0.8</v>
      </c>
      <c r="I2">
        <v>90</v>
      </c>
    </row>
    <row r="3" spans="1:10" x14ac:dyDescent="0.35">
      <c r="A3">
        <v>12</v>
      </c>
      <c r="B3">
        <v>0</v>
      </c>
      <c r="C3">
        <v>85</v>
      </c>
      <c r="D3" t="s">
        <v>31</v>
      </c>
      <c r="G3">
        <v>2</v>
      </c>
      <c r="H3">
        <v>1.4</v>
      </c>
      <c r="I3">
        <v>85</v>
      </c>
    </row>
    <row r="4" spans="1:10" x14ac:dyDescent="0.35">
      <c r="A4">
        <v>0</v>
      </c>
      <c r="B4">
        <v>0</v>
      </c>
      <c r="C4">
        <v>80</v>
      </c>
      <c r="D4">
        <f>48-5/2</f>
        <v>45.5</v>
      </c>
      <c r="E4" t="s">
        <v>32</v>
      </c>
      <c r="G4">
        <v>3</v>
      </c>
      <c r="H4">
        <v>1.5</v>
      </c>
      <c r="I4">
        <v>80</v>
      </c>
    </row>
    <row r="5" spans="1:10" x14ac:dyDescent="0.35">
      <c r="A5">
        <v>10</v>
      </c>
      <c r="B5">
        <v>4</v>
      </c>
      <c r="C5">
        <v>75</v>
      </c>
      <c r="G5">
        <v>5.5</v>
      </c>
      <c r="H5">
        <v>3.2</v>
      </c>
      <c r="I5">
        <v>75</v>
      </c>
    </row>
    <row r="6" spans="1:10" x14ac:dyDescent="0.35">
      <c r="A6">
        <v>15</v>
      </c>
      <c r="B6">
        <v>10</v>
      </c>
      <c r="C6">
        <v>70</v>
      </c>
      <c r="G6">
        <v>8.6999999999999993</v>
      </c>
      <c r="H6">
        <v>4.9000000000000004</v>
      </c>
      <c r="I6">
        <v>70</v>
      </c>
    </row>
    <row r="7" spans="1:10" x14ac:dyDescent="0.35">
      <c r="A7">
        <v>14</v>
      </c>
      <c r="B7">
        <v>8</v>
      </c>
      <c r="C7">
        <v>65</v>
      </c>
      <c r="G7">
        <v>12</v>
      </c>
      <c r="H7">
        <v>67</v>
      </c>
      <c r="I7">
        <v>65</v>
      </c>
    </row>
    <row r="8" spans="1:10" x14ac:dyDescent="0.35">
      <c r="A8">
        <v>14</v>
      </c>
      <c r="B8">
        <v>9</v>
      </c>
      <c r="C8">
        <v>60</v>
      </c>
      <c r="G8">
        <v>15</v>
      </c>
      <c r="H8">
        <v>9</v>
      </c>
      <c r="I8">
        <v>60</v>
      </c>
      <c r="J8" t="s">
        <v>35</v>
      </c>
    </row>
    <row r="9" spans="1:10" x14ac:dyDescent="0.35">
      <c r="A9">
        <v>22</v>
      </c>
      <c r="B9">
        <v>14</v>
      </c>
      <c r="C9">
        <v>55</v>
      </c>
      <c r="G9">
        <v>19</v>
      </c>
      <c r="H9">
        <v>10</v>
      </c>
      <c r="I9">
        <v>55</v>
      </c>
    </row>
    <row r="10" spans="1:10" x14ac:dyDescent="0.35">
      <c r="A10">
        <v>27</v>
      </c>
      <c r="B10">
        <v>11</v>
      </c>
      <c r="C10">
        <v>50</v>
      </c>
      <c r="G10">
        <v>21</v>
      </c>
      <c r="H10">
        <v>11</v>
      </c>
      <c r="I10">
        <v>50</v>
      </c>
    </row>
    <row r="11" spans="1:10" x14ac:dyDescent="0.35">
      <c r="A11">
        <v>37</v>
      </c>
      <c r="B11">
        <v>17</v>
      </c>
      <c r="C11">
        <v>45</v>
      </c>
      <c r="G11">
        <v>21</v>
      </c>
      <c r="H11">
        <v>11</v>
      </c>
      <c r="I11">
        <v>45</v>
      </c>
    </row>
    <row r="12" spans="1:10" x14ac:dyDescent="0.35">
      <c r="A12">
        <v>50</v>
      </c>
      <c r="B12">
        <v>22</v>
      </c>
      <c r="C12">
        <v>40</v>
      </c>
      <c r="G12">
        <v>20</v>
      </c>
      <c r="H12">
        <v>10</v>
      </c>
      <c r="I12">
        <v>40</v>
      </c>
    </row>
    <row r="13" spans="1:10" x14ac:dyDescent="0.35">
      <c r="A13">
        <v>55</v>
      </c>
      <c r="B13">
        <v>30</v>
      </c>
      <c r="C13">
        <v>35</v>
      </c>
      <c r="G13">
        <v>17</v>
      </c>
      <c r="H13">
        <v>9</v>
      </c>
      <c r="I13">
        <v>35</v>
      </c>
    </row>
    <row r="14" spans="1:10" x14ac:dyDescent="0.35">
      <c r="A14">
        <v>60</v>
      </c>
      <c r="B14">
        <v>25</v>
      </c>
      <c r="C14">
        <v>30</v>
      </c>
      <c r="G14">
        <v>14</v>
      </c>
      <c r="H14">
        <v>6.7</v>
      </c>
      <c r="I14">
        <v>30</v>
      </c>
    </row>
    <row r="15" spans="1:10" x14ac:dyDescent="0.35">
      <c r="A15">
        <v>65</v>
      </c>
      <c r="B15">
        <v>34</v>
      </c>
      <c r="C15">
        <v>25</v>
      </c>
      <c r="G15">
        <v>9.5</v>
      </c>
      <c r="H15">
        <v>4.8</v>
      </c>
      <c r="I15">
        <v>25</v>
      </c>
    </row>
    <row r="16" spans="1:10" x14ac:dyDescent="0.35">
      <c r="A16">
        <v>69</v>
      </c>
      <c r="B16">
        <v>38</v>
      </c>
      <c r="C16">
        <v>20</v>
      </c>
      <c r="E16" t="s">
        <v>36</v>
      </c>
      <c r="G16">
        <v>7</v>
      </c>
      <c r="H16">
        <v>3.3</v>
      </c>
      <c r="I16">
        <v>20</v>
      </c>
    </row>
    <row r="17" spans="1:10" x14ac:dyDescent="0.35">
      <c r="A17">
        <v>75</v>
      </c>
      <c r="B17">
        <v>38</v>
      </c>
      <c r="C17">
        <v>17.5</v>
      </c>
      <c r="G17">
        <v>6</v>
      </c>
      <c r="H17">
        <v>2.7</v>
      </c>
      <c r="I17">
        <v>17.5</v>
      </c>
    </row>
    <row r="18" spans="1:10" x14ac:dyDescent="0.35">
      <c r="A18">
        <v>78</v>
      </c>
      <c r="B18">
        <v>40</v>
      </c>
      <c r="C18">
        <v>15</v>
      </c>
      <c r="G18">
        <v>4.5</v>
      </c>
      <c r="H18">
        <v>2</v>
      </c>
      <c r="I18">
        <v>15</v>
      </c>
    </row>
    <row r="19" spans="1:10" x14ac:dyDescent="0.35">
      <c r="A19">
        <v>80</v>
      </c>
      <c r="B19">
        <v>43</v>
      </c>
      <c r="C19">
        <v>12.5</v>
      </c>
      <c r="G19">
        <v>3.6</v>
      </c>
      <c r="H19">
        <v>1.8</v>
      </c>
      <c r="I19">
        <v>12.5</v>
      </c>
    </row>
    <row r="20" spans="1:10" x14ac:dyDescent="0.35">
      <c r="A20">
        <v>83</v>
      </c>
      <c r="B20">
        <v>44</v>
      </c>
      <c r="C20">
        <v>10</v>
      </c>
      <c r="G20">
        <v>2.7</v>
      </c>
      <c r="H20">
        <v>1.3</v>
      </c>
      <c r="I20">
        <v>10</v>
      </c>
    </row>
    <row r="21" spans="1:10" x14ac:dyDescent="0.35">
      <c r="A21">
        <v>86</v>
      </c>
      <c r="B21">
        <v>45</v>
      </c>
      <c r="C21">
        <v>7.5</v>
      </c>
      <c r="G21">
        <v>2.1</v>
      </c>
      <c r="H21">
        <v>1.4</v>
      </c>
      <c r="I21">
        <v>7.5</v>
      </c>
      <c r="J21" t="s">
        <v>40</v>
      </c>
    </row>
    <row r="22" spans="1:10" x14ac:dyDescent="0.35">
      <c r="A22">
        <v>87</v>
      </c>
      <c r="B22">
        <v>46</v>
      </c>
      <c r="C22">
        <v>5</v>
      </c>
      <c r="G22">
        <v>2</v>
      </c>
      <c r="H22">
        <v>1.1000000000000001</v>
      </c>
      <c r="I22">
        <v>5</v>
      </c>
      <c r="J22" t="s">
        <v>40</v>
      </c>
    </row>
    <row r="23" spans="1:10" x14ac:dyDescent="0.35">
      <c r="A23">
        <v>87</v>
      </c>
      <c r="B23">
        <v>47</v>
      </c>
      <c r="C23">
        <v>2.5</v>
      </c>
      <c r="I23">
        <v>2.5</v>
      </c>
      <c r="J23" t="s">
        <v>40</v>
      </c>
    </row>
    <row r="24" spans="1:10" x14ac:dyDescent="0.35">
      <c r="A24">
        <v>86</v>
      </c>
      <c r="B24">
        <v>49</v>
      </c>
      <c r="C24">
        <v>0</v>
      </c>
      <c r="G24">
        <v>2</v>
      </c>
      <c r="H24">
        <v>1.4</v>
      </c>
      <c r="I24">
        <v>0</v>
      </c>
      <c r="J24" t="s">
        <v>40</v>
      </c>
    </row>
    <row r="25" spans="1:10" x14ac:dyDescent="0.35">
      <c r="A25">
        <v>87</v>
      </c>
      <c r="B25">
        <v>47</v>
      </c>
      <c r="C25">
        <v>-2.5</v>
      </c>
      <c r="I25">
        <v>-2.5</v>
      </c>
      <c r="J25" t="s">
        <v>40</v>
      </c>
    </row>
    <row r="26" spans="1:10" x14ac:dyDescent="0.35">
      <c r="A26">
        <v>83</v>
      </c>
      <c r="B26">
        <v>43</v>
      </c>
      <c r="C26">
        <v>-5</v>
      </c>
      <c r="G26">
        <v>2.2000000000000002</v>
      </c>
      <c r="H26">
        <v>1.1000000000000001</v>
      </c>
      <c r="I26">
        <v>-5</v>
      </c>
      <c r="J26" t="s">
        <v>40</v>
      </c>
    </row>
    <row r="27" spans="1:10" x14ac:dyDescent="0.35">
      <c r="A27">
        <v>82</v>
      </c>
      <c r="B27">
        <v>42</v>
      </c>
      <c r="C27">
        <v>-7.5</v>
      </c>
      <c r="I27">
        <v>-7.5</v>
      </c>
      <c r="J27" t="s">
        <v>40</v>
      </c>
    </row>
    <row r="28" spans="1:10" x14ac:dyDescent="0.35">
      <c r="A28">
        <v>80</v>
      </c>
      <c r="B28">
        <v>41</v>
      </c>
      <c r="C28">
        <v>-10</v>
      </c>
      <c r="G28">
        <v>3</v>
      </c>
      <c r="H28">
        <v>1.6</v>
      </c>
      <c r="I28">
        <v>-10</v>
      </c>
      <c r="J28" t="s">
        <v>40</v>
      </c>
    </row>
    <row r="29" spans="1:10" x14ac:dyDescent="0.35">
      <c r="A29">
        <v>76</v>
      </c>
      <c r="B29">
        <v>40</v>
      </c>
      <c r="C29">
        <v>-12.5</v>
      </c>
      <c r="I29">
        <v>-12.5</v>
      </c>
      <c r="J29" t="s">
        <v>40</v>
      </c>
    </row>
    <row r="30" spans="1:10" x14ac:dyDescent="0.35">
      <c r="A30">
        <v>72</v>
      </c>
      <c r="B30">
        <v>35</v>
      </c>
      <c r="C30">
        <v>-15</v>
      </c>
      <c r="G30">
        <v>5.5</v>
      </c>
      <c r="H30">
        <v>2.7</v>
      </c>
      <c r="I30">
        <v>-15</v>
      </c>
      <c r="J30" t="s">
        <v>40</v>
      </c>
    </row>
    <row r="31" spans="1:10" x14ac:dyDescent="0.35">
      <c r="A31">
        <v>66</v>
      </c>
      <c r="B31">
        <v>34</v>
      </c>
      <c r="C31">
        <v>-17.5</v>
      </c>
      <c r="I31">
        <v>-17.5</v>
      </c>
    </row>
    <row r="32" spans="1:10" x14ac:dyDescent="0.35">
      <c r="A32">
        <v>60</v>
      </c>
      <c r="B32">
        <v>33</v>
      </c>
      <c r="C32">
        <v>-20</v>
      </c>
      <c r="G32">
        <v>8.5</v>
      </c>
      <c r="H32">
        <v>4</v>
      </c>
      <c r="I32">
        <v>-20</v>
      </c>
    </row>
    <row r="33" spans="1:9" x14ac:dyDescent="0.35">
      <c r="A33">
        <v>58</v>
      </c>
      <c r="B33">
        <v>30</v>
      </c>
      <c r="C33">
        <v>-22.5</v>
      </c>
      <c r="G33">
        <v>10</v>
      </c>
      <c r="H33">
        <v>4.5</v>
      </c>
      <c r="I33">
        <v>-22.5</v>
      </c>
    </row>
    <row r="34" spans="1:9" x14ac:dyDescent="0.35">
      <c r="A34">
        <v>54</v>
      </c>
      <c r="B34">
        <v>29</v>
      </c>
      <c r="C34">
        <v>-25</v>
      </c>
      <c r="G34">
        <v>11</v>
      </c>
      <c r="H34">
        <v>5.0999999999999996</v>
      </c>
      <c r="I34">
        <v>-25</v>
      </c>
    </row>
    <row r="35" spans="1:9" x14ac:dyDescent="0.35">
      <c r="A35">
        <v>47</v>
      </c>
      <c r="B35">
        <v>24</v>
      </c>
      <c r="C35">
        <v>-27.5</v>
      </c>
      <c r="G35">
        <v>12</v>
      </c>
      <c r="H35">
        <v>6</v>
      </c>
      <c r="I35">
        <v>-27.5</v>
      </c>
    </row>
    <row r="36" spans="1:9" x14ac:dyDescent="0.35">
      <c r="A36">
        <v>44</v>
      </c>
      <c r="B36">
        <v>23</v>
      </c>
      <c r="C36">
        <v>-30</v>
      </c>
      <c r="G36">
        <v>13.5</v>
      </c>
      <c r="H36">
        <v>6.4</v>
      </c>
      <c r="I36">
        <v>-30</v>
      </c>
    </row>
    <row r="37" spans="1:9" x14ac:dyDescent="0.35">
      <c r="A37">
        <v>40</v>
      </c>
      <c r="B37">
        <v>22</v>
      </c>
      <c r="C37">
        <v>-35</v>
      </c>
      <c r="G37">
        <v>16</v>
      </c>
      <c r="H37">
        <v>7.5</v>
      </c>
      <c r="I37">
        <v>-35</v>
      </c>
    </row>
    <row r="38" spans="1:9" x14ac:dyDescent="0.35">
      <c r="A38">
        <v>29</v>
      </c>
      <c r="B38">
        <v>18</v>
      </c>
      <c r="C38">
        <v>-40</v>
      </c>
      <c r="G38">
        <v>19</v>
      </c>
      <c r="H38">
        <v>8.5</v>
      </c>
      <c r="I38">
        <v>-40</v>
      </c>
    </row>
    <row r="39" spans="1:9" x14ac:dyDescent="0.35">
      <c r="A39">
        <v>24</v>
      </c>
      <c r="B39">
        <v>17</v>
      </c>
      <c r="C39">
        <v>-45</v>
      </c>
      <c r="G39">
        <v>19</v>
      </c>
      <c r="H39">
        <v>9</v>
      </c>
      <c r="I39">
        <v>-45</v>
      </c>
    </row>
    <row r="40" spans="1:9" x14ac:dyDescent="0.35">
      <c r="A40">
        <v>16</v>
      </c>
      <c r="B40">
        <v>12</v>
      </c>
      <c r="C40">
        <v>-50</v>
      </c>
      <c r="G40">
        <v>20</v>
      </c>
      <c r="H40">
        <v>8.6999999999999993</v>
      </c>
      <c r="I40">
        <v>-50</v>
      </c>
    </row>
    <row r="41" spans="1:9" x14ac:dyDescent="0.35">
      <c r="A41">
        <v>10</v>
      </c>
      <c r="B41">
        <v>9</v>
      </c>
      <c r="C41">
        <v>-55</v>
      </c>
      <c r="G41">
        <v>18</v>
      </c>
      <c r="H41">
        <v>8.5</v>
      </c>
      <c r="I41">
        <v>-55</v>
      </c>
    </row>
    <row r="42" spans="1:9" x14ac:dyDescent="0.35">
      <c r="A42">
        <v>6</v>
      </c>
      <c r="B42">
        <v>6</v>
      </c>
      <c r="C42">
        <v>-60</v>
      </c>
      <c r="D42" t="s">
        <v>37</v>
      </c>
      <c r="G42">
        <v>15.7</v>
      </c>
      <c r="H42">
        <v>7.4</v>
      </c>
      <c r="I42">
        <v>-60</v>
      </c>
    </row>
    <row r="43" spans="1:9" x14ac:dyDescent="0.35">
      <c r="G43">
        <v>11.5</v>
      </c>
      <c r="H43">
        <v>5.2</v>
      </c>
    </row>
    <row r="44" spans="1:9" x14ac:dyDescent="0.35">
      <c r="A44" t="s">
        <v>39</v>
      </c>
      <c r="G44">
        <v>8</v>
      </c>
      <c r="H44">
        <v>3.9</v>
      </c>
      <c r="I44">
        <v>-70</v>
      </c>
    </row>
    <row r="45" spans="1:9" x14ac:dyDescent="0.35">
      <c r="G45">
        <v>4.7</v>
      </c>
      <c r="H45">
        <v>2.4</v>
      </c>
      <c r="I45">
        <v>-75</v>
      </c>
    </row>
    <row r="46" spans="1:9" x14ac:dyDescent="0.35">
      <c r="G46">
        <v>3</v>
      </c>
      <c r="H46">
        <v>1.2</v>
      </c>
      <c r="I46">
        <v>-80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71E5-2149-44A8-8225-D21288E6F002}">
  <dimension ref="A1:Q41"/>
  <sheetViews>
    <sheetView tabSelected="1" topLeftCell="F1" workbookViewId="0">
      <selection activeCell="J18" sqref="J18"/>
    </sheetView>
  </sheetViews>
  <sheetFormatPr baseColWidth="10" defaultRowHeight="14.5" x14ac:dyDescent="0.35"/>
  <cols>
    <col min="2" max="2" width="20.7265625" bestFit="1" customWidth="1"/>
    <col min="5" max="5" width="20.7265625" bestFit="1" customWidth="1"/>
  </cols>
  <sheetData>
    <row r="1" spans="1:17" x14ac:dyDescent="0.35">
      <c r="A1" t="s">
        <v>46</v>
      </c>
      <c r="B1" t="s">
        <v>41</v>
      </c>
      <c r="C1" t="s">
        <v>42</v>
      </c>
      <c r="D1" t="s">
        <v>46</v>
      </c>
      <c r="E1" t="s">
        <v>48</v>
      </c>
      <c r="F1" t="s">
        <v>49</v>
      </c>
      <c r="G1" t="s">
        <v>42</v>
      </c>
      <c r="J1" t="s">
        <v>46</v>
      </c>
      <c r="K1" t="s">
        <v>50</v>
      </c>
      <c r="L1" t="s">
        <v>51</v>
      </c>
      <c r="O1" t="s">
        <v>46</v>
      </c>
      <c r="P1" t="s">
        <v>52</v>
      </c>
      <c r="Q1" t="s">
        <v>54</v>
      </c>
    </row>
    <row r="2" spans="1:17" x14ac:dyDescent="0.35">
      <c r="A2">
        <v>8</v>
      </c>
      <c r="B2">
        <v>0</v>
      </c>
      <c r="C2">
        <f>MAX(A1:A38)</f>
        <v>124</v>
      </c>
      <c r="D2">
        <v>61</v>
      </c>
      <c r="E2">
        <v>0</v>
      </c>
      <c r="G2">
        <f>MAX(D2:D39)</f>
        <v>89</v>
      </c>
      <c r="J2">
        <v>16</v>
      </c>
      <c r="K2">
        <v>0</v>
      </c>
      <c r="O2">
        <v>49</v>
      </c>
      <c r="P2">
        <v>0</v>
      </c>
      <c r="Q2" t="s">
        <v>55</v>
      </c>
    </row>
    <row r="3" spans="1:17" x14ac:dyDescent="0.35">
      <c r="A3">
        <v>19</v>
      </c>
      <c r="B3">
        <v>10</v>
      </c>
      <c r="C3" t="s">
        <v>43</v>
      </c>
      <c r="D3">
        <v>45</v>
      </c>
      <c r="E3">
        <v>10</v>
      </c>
      <c r="G3" t="s">
        <v>43</v>
      </c>
      <c r="J3">
        <v>2</v>
      </c>
      <c r="K3">
        <v>10</v>
      </c>
      <c r="O3">
        <v>50</v>
      </c>
      <c r="P3">
        <v>10</v>
      </c>
      <c r="Q3" t="s">
        <v>53</v>
      </c>
    </row>
    <row r="4" spans="1:17" x14ac:dyDescent="0.35">
      <c r="A4">
        <v>36</v>
      </c>
      <c r="B4">
        <v>20</v>
      </c>
      <c r="C4">
        <f>MIN(A2:A38)</f>
        <v>2</v>
      </c>
      <c r="D4">
        <v>30</v>
      </c>
      <c r="E4">
        <v>20</v>
      </c>
      <c r="G4">
        <f>MIN(D2:D38)</f>
        <v>2</v>
      </c>
      <c r="H4">
        <v>4</v>
      </c>
      <c r="I4">
        <v>40</v>
      </c>
      <c r="J4">
        <v>14</v>
      </c>
      <c r="K4">
        <v>20</v>
      </c>
      <c r="O4">
        <v>52</v>
      </c>
      <c r="P4">
        <v>20</v>
      </c>
    </row>
    <row r="5" spans="1:17" x14ac:dyDescent="0.35">
      <c r="A5">
        <v>54</v>
      </c>
      <c r="B5">
        <v>30</v>
      </c>
      <c r="D5">
        <v>16</v>
      </c>
      <c r="E5">
        <v>30</v>
      </c>
      <c r="J5">
        <v>47</v>
      </c>
      <c r="K5">
        <v>30</v>
      </c>
      <c r="O5">
        <v>54</v>
      </c>
      <c r="P5">
        <v>30</v>
      </c>
    </row>
    <row r="6" spans="1:17" x14ac:dyDescent="0.35">
      <c r="A6">
        <v>80</v>
      </c>
      <c r="B6">
        <v>40</v>
      </c>
      <c r="D6">
        <v>6</v>
      </c>
      <c r="E6">
        <v>40</v>
      </c>
      <c r="J6">
        <v>84</v>
      </c>
      <c r="K6">
        <v>40</v>
      </c>
      <c r="O6">
        <v>57</v>
      </c>
      <c r="P6">
        <v>40</v>
      </c>
    </row>
    <row r="7" spans="1:17" x14ac:dyDescent="0.35">
      <c r="A7">
        <v>97</v>
      </c>
      <c r="B7">
        <v>50</v>
      </c>
      <c r="D7">
        <v>2</v>
      </c>
      <c r="E7">
        <v>50</v>
      </c>
      <c r="J7">
        <v>104</v>
      </c>
      <c r="K7">
        <v>50</v>
      </c>
      <c r="O7">
        <v>60</v>
      </c>
      <c r="P7">
        <v>50</v>
      </c>
    </row>
    <row r="8" spans="1:17" x14ac:dyDescent="0.35">
      <c r="A8">
        <v>112</v>
      </c>
      <c r="B8">
        <v>60</v>
      </c>
      <c r="D8">
        <v>2</v>
      </c>
      <c r="E8">
        <v>60</v>
      </c>
      <c r="J8">
        <v>106</v>
      </c>
      <c r="K8">
        <v>60</v>
      </c>
      <c r="O8">
        <v>61</v>
      </c>
      <c r="P8">
        <v>60</v>
      </c>
    </row>
    <row r="9" spans="1:17" x14ac:dyDescent="0.35">
      <c r="A9">
        <v>120</v>
      </c>
      <c r="B9">
        <v>70</v>
      </c>
      <c r="D9">
        <v>8</v>
      </c>
      <c r="E9">
        <v>70</v>
      </c>
      <c r="J9">
        <v>86</v>
      </c>
      <c r="K9">
        <v>70</v>
      </c>
      <c r="O9">
        <v>62</v>
      </c>
      <c r="P9">
        <v>70</v>
      </c>
    </row>
    <row r="10" spans="1:17" x14ac:dyDescent="0.35">
      <c r="A10">
        <v>122</v>
      </c>
      <c r="B10">
        <v>80</v>
      </c>
      <c r="D10">
        <v>18</v>
      </c>
      <c r="E10">
        <v>80</v>
      </c>
      <c r="J10">
        <v>47</v>
      </c>
      <c r="K10">
        <v>80</v>
      </c>
      <c r="O10">
        <v>62</v>
      </c>
      <c r="P10">
        <v>80</v>
      </c>
    </row>
    <row r="11" spans="1:17" x14ac:dyDescent="0.35">
      <c r="A11">
        <v>112</v>
      </c>
      <c r="B11">
        <v>90</v>
      </c>
      <c r="D11">
        <v>33</v>
      </c>
      <c r="E11">
        <v>90</v>
      </c>
      <c r="J11">
        <v>15</v>
      </c>
      <c r="K11">
        <v>90</v>
      </c>
      <c r="O11">
        <v>62</v>
      </c>
      <c r="P11">
        <v>90</v>
      </c>
    </row>
    <row r="12" spans="1:17" x14ac:dyDescent="0.35">
      <c r="A12">
        <v>87</v>
      </c>
      <c r="B12">
        <v>100</v>
      </c>
      <c r="D12">
        <v>50</v>
      </c>
      <c r="E12">
        <v>100</v>
      </c>
      <c r="J12">
        <v>2</v>
      </c>
      <c r="K12">
        <v>100</v>
      </c>
      <c r="O12">
        <v>60</v>
      </c>
      <c r="P12">
        <v>100</v>
      </c>
    </row>
    <row r="13" spans="1:17" x14ac:dyDescent="0.35">
      <c r="A13">
        <v>85</v>
      </c>
      <c r="B13">
        <v>110</v>
      </c>
      <c r="D13">
        <v>63</v>
      </c>
      <c r="E13">
        <v>110</v>
      </c>
      <c r="J13">
        <v>13</v>
      </c>
      <c r="K13">
        <v>110</v>
      </c>
      <c r="O13">
        <v>58</v>
      </c>
      <c r="P13">
        <v>110</v>
      </c>
    </row>
    <row r="14" spans="1:17" x14ac:dyDescent="0.35">
      <c r="A14">
        <v>63</v>
      </c>
      <c r="B14">
        <v>120</v>
      </c>
      <c r="D14">
        <v>75</v>
      </c>
      <c r="E14">
        <v>120</v>
      </c>
      <c r="J14">
        <v>46</v>
      </c>
      <c r="K14">
        <v>120</v>
      </c>
      <c r="O14">
        <v>56</v>
      </c>
      <c r="P14">
        <v>120</v>
      </c>
    </row>
    <row r="15" spans="1:17" x14ac:dyDescent="0.35">
      <c r="A15">
        <v>45</v>
      </c>
      <c r="B15">
        <v>130</v>
      </c>
      <c r="D15">
        <v>85</v>
      </c>
      <c r="E15">
        <v>130</v>
      </c>
      <c r="J15">
        <v>83</v>
      </c>
      <c r="K15">
        <v>130</v>
      </c>
      <c r="O15">
        <v>53</v>
      </c>
      <c r="P15">
        <v>130</v>
      </c>
    </row>
    <row r="16" spans="1:17" x14ac:dyDescent="0.35">
      <c r="A16">
        <v>24</v>
      </c>
      <c r="B16">
        <v>140</v>
      </c>
      <c r="D16">
        <v>89</v>
      </c>
      <c r="E16">
        <v>140</v>
      </c>
      <c r="J16">
        <v>107</v>
      </c>
      <c r="K16">
        <v>140</v>
      </c>
      <c r="O16">
        <v>51</v>
      </c>
      <c r="P16">
        <v>140</v>
      </c>
    </row>
    <row r="17" spans="1:16" x14ac:dyDescent="0.35">
      <c r="A17">
        <v>11</v>
      </c>
      <c r="B17">
        <v>150</v>
      </c>
      <c r="D17">
        <v>89</v>
      </c>
      <c r="E17">
        <v>150</v>
      </c>
      <c r="J17">
        <v>107</v>
      </c>
      <c r="K17">
        <v>150</v>
      </c>
      <c r="O17">
        <v>49</v>
      </c>
      <c r="P17">
        <v>150</v>
      </c>
    </row>
    <row r="18" spans="1:16" x14ac:dyDescent="0.35">
      <c r="A18">
        <v>3</v>
      </c>
      <c r="B18">
        <v>160</v>
      </c>
      <c r="D18">
        <v>83</v>
      </c>
      <c r="E18">
        <v>160</v>
      </c>
      <c r="J18">
        <v>84</v>
      </c>
      <c r="K18">
        <v>160</v>
      </c>
      <c r="O18">
        <v>47</v>
      </c>
      <c r="P18">
        <v>160</v>
      </c>
    </row>
    <row r="19" spans="1:16" x14ac:dyDescent="0.35">
      <c r="A19">
        <v>2</v>
      </c>
      <c r="B19">
        <v>170</v>
      </c>
      <c r="D19">
        <v>72</v>
      </c>
      <c r="E19">
        <v>170</v>
      </c>
      <c r="J19">
        <v>48</v>
      </c>
      <c r="K19">
        <v>170</v>
      </c>
      <c r="O19">
        <v>47</v>
      </c>
      <c r="P19">
        <v>170</v>
      </c>
    </row>
    <row r="20" spans="1:16" x14ac:dyDescent="0.35">
      <c r="A20">
        <v>7</v>
      </c>
      <c r="B20">
        <v>180</v>
      </c>
      <c r="D20">
        <v>60</v>
      </c>
      <c r="E20">
        <v>180</v>
      </c>
      <c r="J20">
        <v>14</v>
      </c>
      <c r="K20">
        <v>180</v>
      </c>
      <c r="O20">
        <v>48</v>
      </c>
      <c r="P20">
        <v>180</v>
      </c>
    </row>
    <row r="21" spans="1:16" x14ac:dyDescent="0.35">
      <c r="A21">
        <v>20</v>
      </c>
      <c r="B21">
        <v>190</v>
      </c>
      <c r="D21">
        <v>44</v>
      </c>
      <c r="E21">
        <v>190</v>
      </c>
      <c r="J21">
        <v>2</v>
      </c>
      <c r="K21">
        <v>190</v>
      </c>
      <c r="O21">
        <v>50</v>
      </c>
      <c r="P21">
        <v>190</v>
      </c>
    </row>
    <row r="22" spans="1:16" x14ac:dyDescent="0.35">
      <c r="A22">
        <v>36</v>
      </c>
      <c r="B22">
        <v>200</v>
      </c>
      <c r="D22">
        <v>29</v>
      </c>
      <c r="E22">
        <v>200</v>
      </c>
      <c r="J22">
        <v>14</v>
      </c>
      <c r="K22">
        <v>200</v>
      </c>
      <c r="O22">
        <v>52</v>
      </c>
      <c r="P22">
        <v>200</v>
      </c>
    </row>
    <row r="23" spans="1:16" x14ac:dyDescent="0.35">
      <c r="A23">
        <v>57</v>
      </c>
      <c r="B23">
        <v>210</v>
      </c>
      <c r="D23">
        <v>16</v>
      </c>
      <c r="E23">
        <v>210</v>
      </c>
      <c r="J23">
        <v>45</v>
      </c>
      <c r="K23">
        <v>210</v>
      </c>
      <c r="O23">
        <v>55</v>
      </c>
      <c r="P23">
        <v>210</v>
      </c>
    </row>
    <row r="24" spans="1:16" x14ac:dyDescent="0.35">
      <c r="A24">
        <v>81</v>
      </c>
      <c r="B24">
        <v>220</v>
      </c>
      <c r="D24">
        <v>8</v>
      </c>
      <c r="E24">
        <v>220</v>
      </c>
      <c r="J24">
        <v>84</v>
      </c>
      <c r="K24">
        <v>220</v>
      </c>
      <c r="O24">
        <v>58</v>
      </c>
      <c r="P24">
        <v>220</v>
      </c>
    </row>
    <row r="25" spans="1:16" x14ac:dyDescent="0.35">
      <c r="A25">
        <v>98</v>
      </c>
      <c r="B25">
        <v>230</v>
      </c>
      <c r="D25">
        <v>3</v>
      </c>
      <c r="E25">
        <v>230</v>
      </c>
      <c r="J25">
        <v>107</v>
      </c>
      <c r="K25">
        <v>230</v>
      </c>
      <c r="O25">
        <v>60</v>
      </c>
      <c r="P25">
        <v>230</v>
      </c>
    </row>
    <row r="26" spans="1:16" x14ac:dyDescent="0.35">
      <c r="A26">
        <v>114</v>
      </c>
      <c r="B26">
        <v>240</v>
      </c>
      <c r="D26">
        <v>3</v>
      </c>
      <c r="E26">
        <v>240</v>
      </c>
      <c r="J26">
        <v>106</v>
      </c>
      <c r="K26">
        <v>240</v>
      </c>
      <c r="O26">
        <v>61</v>
      </c>
      <c r="P26">
        <v>240</v>
      </c>
    </row>
    <row r="27" spans="1:16" x14ac:dyDescent="0.35">
      <c r="A27">
        <v>123</v>
      </c>
      <c r="B27">
        <v>250</v>
      </c>
      <c r="D27">
        <v>8</v>
      </c>
      <c r="E27">
        <v>250</v>
      </c>
      <c r="J27">
        <v>83</v>
      </c>
      <c r="K27">
        <v>250</v>
      </c>
      <c r="O27">
        <v>62</v>
      </c>
      <c r="P27">
        <v>250</v>
      </c>
    </row>
    <row r="28" spans="1:16" x14ac:dyDescent="0.35">
      <c r="A28">
        <v>124</v>
      </c>
      <c r="B28">
        <v>260</v>
      </c>
      <c r="D28">
        <v>19</v>
      </c>
      <c r="E28">
        <v>260</v>
      </c>
      <c r="J28">
        <v>46</v>
      </c>
      <c r="K28">
        <v>260</v>
      </c>
      <c r="O28">
        <v>62</v>
      </c>
      <c r="P28">
        <v>260</v>
      </c>
    </row>
    <row r="29" spans="1:16" x14ac:dyDescent="0.35">
      <c r="A29">
        <v>118</v>
      </c>
      <c r="B29">
        <v>270</v>
      </c>
      <c r="D29">
        <v>31</v>
      </c>
      <c r="E29">
        <v>270</v>
      </c>
      <c r="J29">
        <v>15</v>
      </c>
      <c r="K29">
        <v>270</v>
      </c>
      <c r="O29">
        <v>61</v>
      </c>
      <c r="P29">
        <v>270</v>
      </c>
    </row>
    <row r="30" spans="1:16" x14ac:dyDescent="0.35">
      <c r="A30">
        <v>102</v>
      </c>
      <c r="B30">
        <v>280</v>
      </c>
      <c r="D30">
        <v>47</v>
      </c>
      <c r="E30">
        <v>280</v>
      </c>
      <c r="J30">
        <v>2</v>
      </c>
      <c r="K30">
        <v>280</v>
      </c>
      <c r="O30">
        <v>59</v>
      </c>
      <c r="P30">
        <v>280</v>
      </c>
    </row>
    <row r="31" spans="1:16" x14ac:dyDescent="0.35">
      <c r="A31">
        <v>89</v>
      </c>
      <c r="B31">
        <v>290</v>
      </c>
      <c r="D31">
        <v>63</v>
      </c>
      <c r="E31">
        <v>290</v>
      </c>
      <c r="J31">
        <v>14</v>
      </c>
      <c r="K31">
        <v>290</v>
      </c>
      <c r="O31">
        <v>57</v>
      </c>
      <c r="P31">
        <v>290</v>
      </c>
    </row>
    <row r="32" spans="1:16" x14ac:dyDescent="0.35">
      <c r="A32">
        <v>66</v>
      </c>
      <c r="B32">
        <v>300</v>
      </c>
      <c r="D32">
        <v>76</v>
      </c>
      <c r="E32">
        <v>300</v>
      </c>
      <c r="J32">
        <v>46</v>
      </c>
      <c r="K32">
        <v>300</v>
      </c>
      <c r="O32">
        <v>55</v>
      </c>
      <c r="P32">
        <v>300</v>
      </c>
    </row>
    <row r="33" spans="1:16" x14ac:dyDescent="0.35">
      <c r="A33">
        <v>42</v>
      </c>
      <c r="B33">
        <v>310</v>
      </c>
      <c r="D33">
        <v>84</v>
      </c>
      <c r="E33">
        <v>310</v>
      </c>
      <c r="J33">
        <v>83</v>
      </c>
      <c r="K33">
        <v>310</v>
      </c>
      <c r="O33">
        <v>53</v>
      </c>
      <c r="P33">
        <v>310</v>
      </c>
    </row>
    <row r="34" spans="1:16" x14ac:dyDescent="0.35">
      <c r="A34">
        <v>26</v>
      </c>
      <c r="B34">
        <v>320</v>
      </c>
      <c r="D34">
        <v>89</v>
      </c>
      <c r="E34">
        <v>320</v>
      </c>
      <c r="J34">
        <v>107</v>
      </c>
      <c r="K34">
        <v>320</v>
      </c>
      <c r="O34">
        <v>50</v>
      </c>
      <c r="P34">
        <v>320</v>
      </c>
    </row>
    <row r="35" spans="1:16" x14ac:dyDescent="0.35">
      <c r="A35">
        <v>12</v>
      </c>
      <c r="B35">
        <v>330</v>
      </c>
      <c r="D35">
        <v>89</v>
      </c>
      <c r="E35">
        <v>330</v>
      </c>
      <c r="J35">
        <v>105</v>
      </c>
      <c r="K35">
        <v>330</v>
      </c>
      <c r="O35">
        <v>49</v>
      </c>
      <c r="P35">
        <v>330</v>
      </c>
    </row>
    <row r="36" spans="1:16" x14ac:dyDescent="0.35">
      <c r="A36">
        <v>7</v>
      </c>
      <c r="B36">
        <v>340</v>
      </c>
      <c r="D36">
        <v>83</v>
      </c>
      <c r="E36">
        <v>340</v>
      </c>
      <c r="J36">
        <v>82</v>
      </c>
      <c r="K36">
        <v>340</v>
      </c>
      <c r="O36">
        <v>48</v>
      </c>
      <c r="P36">
        <v>340</v>
      </c>
    </row>
    <row r="37" spans="1:16" x14ac:dyDescent="0.35">
      <c r="A37">
        <v>4</v>
      </c>
      <c r="B37">
        <v>350</v>
      </c>
      <c r="D37">
        <v>73</v>
      </c>
      <c r="E37">
        <v>350</v>
      </c>
      <c r="J37">
        <v>47</v>
      </c>
      <c r="K37">
        <v>350</v>
      </c>
      <c r="O37">
        <v>48</v>
      </c>
      <c r="P37">
        <v>350</v>
      </c>
    </row>
    <row r="39" spans="1:16" x14ac:dyDescent="0.35">
      <c r="A39" t="s">
        <v>44</v>
      </c>
    </row>
    <row r="40" spans="1:16" x14ac:dyDescent="0.35">
      <c r="A40" t="s">
        <v>45</v>
      </c>
    </row>
    <row r="41" spans="1:16" x14ac:dyDescent="0.35">
      <c r="A41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Onde stationnaire de reflexion</vt:lpstr>
      <vt:lpstr>Polaristion par grille</vt:lpstr>
      <vt:lpstr>Pola. long. ondes optique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 Gauthier</dc:creator>
  <cp:lastModifiedBy>Saura Gauthier</cp:lastModifiedBy>
  <dcterms:created xsi:type="dcterms:W3CDTF">2026-03-25T07:24:23Z</dcterms:created>
  <dcterms:modified xsi:type="dcterms:W3CDTF">2026-03-25T11:21:34Z</dcterms:modified>
</cp:coreProperties>
</file>