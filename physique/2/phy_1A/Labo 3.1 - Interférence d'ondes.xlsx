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essoit-my.sharepoint.com/personal/gauthier_saura_hes-so_ch/Documents/Bureau/"/>
    </mc:Choice>
  </mc:AlternateContent>
  <xr:revisionPtr revIDLastSave="351" documentId="8_{764A41EE-C702-472A-B2E3-E8D451591E3E}" xr6:coauthVersionLast="47" xr6:coauthVersionMax="47" xr10:uidLastSave="{B4D9D72F-A983-41A6-A4D4-E5A870BF0018}"/>
  <bookViews>
    <workbookView xWindow="-110" yWindow="-110" windowWidth="19420" windowHeight="11500" activeTab="1" xr2:uid="{72DCDEEF-1404-4CD8-AE32-EE8BFF42C279}"/>
  </bookViews>
  <sheets>
    <sheet name="Manip. 1 " sheetId="1" r:id="rId1"/>
    <sheet name="Manip. 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2" l="1"/>
  <c r="B19" i="2"/>
  <c r="B18" i="2"/>
  <c r="B17" i="2"/>
  <c r="B16" i="2"/>
  <c r="F16" i="2" s="1"/>
  <c r="H16" i="2" s="1"/>
  <c r="F13" i="2"/>
  <c r="F14" i="2"/>
  <c r="F15" i="2"/>
  <c r="F17" i="2"/>
  <c r="I17" i="2" s="1"/>
  <c r="J17" i="2" s="1"/>
  <c r="F18" i="2"/>
  <c r="H18" i="2" s="1"/>
  <c r="F19" i="2"/>
  <c r="I19" i="2" s="1"/>
  <c r="J19" i="2" s="1"/>
  <c r="F20" i="2"/>
  <c r="I20" i="2" s="1"/>
  <c r="J20" i="2" s="1"/>
  <c r="F12" i="2"/>
  <c r="B15" i="2"/>
  <c r="J14" i="2"/>
  <c r="H12" i="2"/>
  <c r="B14" i="2"/>
  <c r="B13" i="2"/>
  <c r="B12" i="2"/>
  <c r="J13" i="2"/>
  <c r="A5" i="2"/>
  <c r="I13" i="2"/>
  <c r="I14" i="2"/>
  <c r="I12" i="2"/>
  <c r="J12" i="2" s="1"/>
  <c r="H13" i="2"/>
  <c r="H14" i="2"/>
  <c r="H20" i="2"/>
  <c r="E2" i="1"/>
  <c r="C30" i="2"/>
  <c r="G13" i="2"/>
  <c r="G14" i="2"/>
  <c r="G15" i="2"/>
  <c r="G16" i="2"/>
  <c r="G17" i="2"/>
  <c r="G18" i="2"/>
  <c r="G19" i="2"/>
  <c r="G20" i="2"/>
  <c r="G12" i="2"/>
  <c r="H15" i="2"/>
  <c r="B8" i="2"/>
  <c r="A4" i="2"/>
  <c r="A2" i="2"/>
  <c r="I16" i="1" a="1"/>
  <c r="I16" i="1" s="1"/>
  <c r="M3" i="1"/>
  <c r="M4" i="1"/>
  <c r="M5" i="1"/>
  <c r="M6" i="1"/>
  <c r="M7" i="1"/>
  <c r="M8" i="1"/>
  <c r="M9" i="1"/>
  <c r="M10" i="1"/>
  <c r="M11" i="1"/>
  <c r="M2" i="1"/>
  <c r="K2" i="1"/>
  <c r="L19" i="1" s="1"/>
  <c r="F3" i="1"/>
  <c r="F4" i="1"/>
  <c r="F5" i="1"/>
  <c r="F6" i="1"/>
  <c r="F7" i="1"/>
  <c r="F8" i="1"/>
  <c r="F9" i="1"/>
  <c r="F10" i="1"/>
  <c r="F11" i="1"/>
  <c r="F2" i="1"/>
  <c r="E6" i="1"/>
  <c r="E7" i="1"/>
  <c r="E8" i="1"/>
  <c r="E9" i="1"/>
  <c r="E11" i="1"/>
  <c r="L9" i="1"/>
  <c r="L10" i="1"/>
  <c r="L11" i="1"/>
  <c r="L8" i="1"/>
  <c r="L7" i="1"/>
  <c r="D5" i="1"/>
  <c r="E5" i="1" s="1"/>
  <c r="D6" i="1"/>
  <c r="D7" i="1"/>
  <c r="D8" i="1"/>
  <c r="D9" i="1"/>
  <c r="D10" i="1"/>
  <c r="E10" i="1" s="1"/>
  <c r="D11" i="1"/>
  <c r="D4" i="1"/>
  <c r="E4" i="1" s="1"/>
  <c r="D3" i="1"/>
  <c r="E3" i="1" s="1"/>
  <c r="D2" i="1"/>
  <c r="H19" i="2" l="1"/>
  <c r="I16" i="2"/>
  <c r="J16" i="2" s="1"/>
  <c r="I15" i="2"/>
  <c r="J15" i="2" s="1"/>
  <c r="H17" i="2"/>
  <c r="I18" i="2"/>
  <c r="J18" i="2" s="1"/>
  <c r="I17" i="1"/>
  <c r="J16" i="1"/>
  <c r="J17" i="1"/>
</calcChain>
</file>

<file path=xl/sharedStrings.xml><?xml version="1.0" encoding="utf-8"?>
<sst xmlns="http://schemas.openxmlformats.org/spreadsheetml/2006/main" count="40" uniqueCount="39">
  <si>
    <t xml:space="preserve">Fréquence / Hz </t>
  </si>
  <si>
    <t>Fréquence / Hz ±</t>
  </si>
  <si>
    <r>
      <t xml:space="preserve">Distance minima / mm </t>
    </r>
    <r>
      <rPr>
        <sz val="11"/>
        <color theme="1"/>
        <rFont val="Aptos Narrow"/>
        <family val="2"/>
      </rPr>
      <t>±1</t>
    </r>
  </si>
  <si>
    <r>
      <t xml:space="preserve">Position minima / mm </t>
    </r>
    <r>
      <rPr>
        <sz val="11"/>
        <color theme="1"/>
        <rFont val="Aptos Narrow"/>
        <family val="2"/>
      </rPr>
      <t>±1</t>
    </r>
  </si>
  <si>
    <t>Lambda / mm</t>
  </si>
  <si>
    <t>T / s-1</t>
  </si>
  <si>
    <t>Temp. / K</t>
  </si>
  <si>
    <t>a</t>
  </si>
  <si>
    <t xml:space="preserve">delta a </t>
  </si>
  <si>
    <t>b</t>
  </si>
  <si>
    <t xml:space="preserve">delta b </t>
  </si>
  <si>
    <r>
      <t xml:space="preserve">Température / ° </t>
    </r>
    <r>
      <rPr>
        <sz val="11"/>
        <color theme="1"/>
        <rFont val="Aptos Narrow"/>
        <family val="2"/>
      </rPr>
      <t>±0,2</t>
    </r>
    <r>
      <rPr>
        <sz val="11"/>
        <color theme="1"/>
        <rFont val="Aptos Narrow"/>
        <family val="2"/>
        <scheme val="minor"/>
      </rPr>
      <t xml:space="preserve"> </t>
    </r>
  </si>
  <si>
    <t>c th</t>
  </si>
  <si>
    <t>R</t>
  </si>
  <si>
    <t>M</t>
  </si>
  <si>
    <t>Gamma</t>
  </si>
  <si>
    <t>*2,3 pour le</t>
  </si>
  <si>
    <t>Rapport de grossissement</t>
  </si>
  <si>
    <r>
      <t xml:space="preserve">Longueur / mm </t>
    </r>
    <r>
      <rPr>
        <sz val="11"/>
        <color theme="1"/>
        <rFont val="Aptos Narrow"/>
        <family val="2"/>
      </rPr>
      <t>±0,5</t>
    </r>
  </si>
  <si>
    <r>
      <t xml:space="preserve">Longueur réfléchie / mm </t>
    </r>
    <r>
      <rPr>
        <sz val="11"/>
        <color theme="1"/>
        <rFont val="Aptos Narrow"/>
        <family val="2"/>
      </rPr>
      <t>±1</t>
    </r>
  </si>
  <si>
    <t>Largeur / mm ±0,5</t>
  </si>
  <si>
    <t>Largeur réfléchie / mm ±1</t>
  </si>
  <si>
    <t>Lambda \ s-1</t>
  </si>
  <si>
    <t>f \ Hz</t>
  </si>
  <si>
    <r>
      <t xml:space="preserve">h / mm </t>
    </r>
    <r>
      <rPr>
        <sz val="11"/>
        <color theme="1"/>
        <rFont val="Aptos Narrow"/>
        <family val="2"/>
      </rPr>
      <t>±0,5</t>
    </r>
  </si>
  <si>
    <t>h / m ±0,0005</t>
  </si>
  <si>
    <r>
      <t xml:space="preserve">Fréquence / Hz  </t>
    </r>
    <r>
      <rPr>
        <sz val="11"/>
        <color theme="1"/>
        <rFont val="Aptos Narrow"/>
        <family val="2"/>
      </rPr>
      <t>±0,5</t>
    </r>
  </si>
  <si>
    <t xml:space="preserve">Distance / mm ± 1 </t>
  </si>
  <si>
    <t>U / Vpp</t>
  </si>
  <si>
    <t xml:space="preserve">Période </t>
  </si>
  <si>
    <t>Distance entre</t>
  </si>
  <si>
    <t xml:space="preserve">Distance </t>
  </si>
  <si>
    <t>c</t>
  </si>
  <si>
    <r>
      <t xml:space="preserve">Temp. Eau / ° </t>
    </r>
    <r>
      <rPr>
        <sz val="11"/>
        <color theme="1"/>
        <rFont val="Aptos Narrow"/>
        <family val="2"/>
      </rPr>
      <t>±0,1</t>
    </r>
  </si>
  <si>
    <t>Vitesse de phase, assimilée a la célérité (c=lambda*f)</t>
  </si>
  <si>
    <t xml:space="preserve">Lambda corrigé </t>
  </si>
  <si>
    <t xml:space="preserve">Nb mesures </t>
  </si>
  <si>
    <t xml:space="preserve">Lambda / mm </t>
  </si>
  <si>
    <t>Lamdba /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</si>
</sst>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7" formatCode="0.0000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167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0.13383145856767903"/>
                  <c:y val="-5.40197579469232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'Manip. 1 '!$F$2:$F$11</c:f>
              <c:numCache>
                <c:formatCode>General</c:formatCode>
                <c:ptCount val="10"/>
                <c:pt idx="0">
                  <c:v>1.1111111111111111E-3</c:v>
                </c:pt>
                <c:pt idx="1">
                  <c:v>7.6923076923076923E-4</c:v>
                </c:pt>
                <c:pt idx="2">
                  <c:v>5.8823529411764701E-4</c:v>
                </c:pt>
                <c:pt idx="3">
                  <c:v>4.6511627906976747E-4</c:v>
                </c:pt>
                <c:pt idx="4">
                  <c:v>3.9215686274509802E-4</c:v>
                </c:pt>
                <c:pt idx="5">
                  <c:v>3.3333333333333332E-4</c:v>
                </c:pt>
                <c:pt idx="6">
                  <c:v>2.8571428571428574E-4</c:v>
                </c:pt>
                <c:pt idx="7">
                  <c:v>2.5000000000000001E-4</c:v>
                </c:pt>
                <c:pt idx="8">
                  <c:v>2.2222222222222223E-4</c:v>
                </c:pt>
                <c:pt idx="9">
                  <c:v>2.0000000000000001E-4</c:v>
                </c:pt>
              </c:numCache>
            </c:numRef>
          </c:xVal>
          <c:yVal>
            <c:numRef>
              <c:f>'Manip. 1 '!$M$2:$M$11</c:f>
              <c:numCache>
                <c:formatCode>General</c:formatCode>
                <c:ptCount val="10"/>
                <c:pt idx="0">
                  <c:v>0.38400000000000001</c:v>
                </c:pt>
                <c:pt idx="1">
                  <c:v>0.27</c:v>
                </c:pt>
                <c:pt idx="2">
                  <c:v>0.20600000000000002</c:v>
                </c:pt>
                <c:pt idx="3">
                  <c:v>0.16200000000000001</c:v>
                </c:pt>
                <c:pt idx="4">
                  <c:v>0.13600000000000001</c:v>
                </c:pt>
                <c:pt idx="5">
                  <c:v>0.114</c:v>
                </c:pt>
                <c:pt idx="6">
                  <c:v>9.920000000000001E-2</c:v>
                </c:pt>
                <c:pt idx="7">
                  <c:v>8.6400000000000005E-2</c:v>
                </c:pt>
                <c:pt idx="8">
                  <c:v>7.6799999999999993E-2</c:v>
                </c:pt>
                <c:pt idx="9">
                  <c:v>7.0000000000000007E-2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4-4D83-85FD-24B561B657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7510351"/>
        <c:axId val="1457515151"/>
      </c:scatterChart>
      <c:valAx>
        <c:axId val="14575103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H"/>
                  <a:t>Période / s-1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457515151"/>
        <c:crosses val="autoZero"/>
        <c:crossBetween val="midCat"/>
      </c:valAx>
      <c:valAx>
        <c:axId val="1457515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H"/>
                  <a:t>Lambda</a:t>
                </a:r>
                <a:r>
                  <a:rPr lang="fr-CH" baseline="0"/>
                  <a:t> / m</a:t>
                </a:r>
                <a:endParaRPr lang="fr-CH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4575103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'Manip. 2'!$J$12:$J$20</c:f>
              <c:numCache>
                <c:formatCode>General</c:formatCode>
                <c:ptCount val="9"/>
                <c:pt idx="0">
                  <c:v>1.196907447523717E-2</c:v>
                </c:pt>
                <c:pt idx="1">
                  <c:v>1.0572682453126167E-2</c:v>
                </c:pt>
                <c:pt idx="2">
                  <c:v>9.5752595801897357E-3</c:v>
                </c:pt>
                <c:pt idx="3">
                  <c:v>7.0318312542018372E-3</c:v>
                </c:pt>
                <c:pt idx="4">
                  <c:v>5.9845372376185852E-3</c:v>
                </c:pt>
                <c:pt idx="5">
                  <c:v>5.1296033465302159E-3</c:v>
                </c:pt>
                <c:pt idx="6">
                  <c:v>4.4884029282139387E-3</c:v>
                </c:pt>
                <c:pt idx="7">
                  <c:v>4.1891760663330096E-3</c:v>
                </c:pt>
                <c:pt idx="8">
                  <c:v>3.7403357735116159E-3</c:v>
                </c:pt>
              </c:numCache>
            </c:numRef>
          </c:xVal>
          <c:yVal>
            <c:numRef>
              <c:f>'Manip. 2'!$H$12:$H$20</c:f>
              <c:numCache>
                <c:formatCode>General</c:formatCode>
                <c:ptCount val="9"/>
                <c:pt idx="0">
                  <c:v>0.29600000000000004</c:v>
                </c:pt>
                <c:pt idx="1">
                  <c:v>0.318</c:v>
                </c:pt>
                <c:pt idx="2">
                  <c:v>0.33439999999999998</c:v>
                </c:pt>
                <c:pt idx="3">
                  <c:v>0.36425000000000002</c:v>
                </c:pt>
                <c:pt idx="4">
                  <c:v>0.40600000000000003</c:v>
                </c:pt>
                <c:pt idx="5">
                  <c:v>0.42514285714285716</c:v>
                </c:pt>
                <c:pt idx="6">
                  <c:v>0.45824999999999999</c:v>
                </c:pt>
                <c:pt idx="7">
                  <c:v>0.49069999999999997</c:v>
                </c:pt>
                <c:pt idx="8">
                  <c:v>0.49500000000000005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456-4FCB-991A-BC3985C039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769039"/>
        <c:axId val="99769999"/>
      </c:scatterChart>
      <c:valAx>
        <c:axId val="99769039"/>
        <c:scaling>
          <c:orientation val="minMax"/>
          <c:min val="3.0000000000000009E-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H"/>
                  <a:t>Lambda</a:t>
                </a:r>
                <a:r>
                  <a:rPr lang="fr-CH" baseline="0"/>
                  <a:t> corrigé</a:t>
                </a:r>
                <a:endParaRPr lang="fr-CH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9769999"/>
        <c:crosses val="autoZero"/>
        <c:crossBetween val="midCat"/>
      </c:valAx>
      <c:valAx>
        <c:axId val="99769999"/>
        <c:scaling>
          <c:orientation val="minMax"/>
          <c:max val="0.51"/>
          <c:min val="0.2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H"/>
                  <a:t>c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97690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1228423</xdr:colOff>
      <xdr:row>12</xdr:row>
      <xdr:rowOff>149375</xdr:rowOff>
    </xdr:from>
    <xdr:to>
      <xdr:col>6</xdr:col>
      <xdr:colOff>545949</xdr:colOff>
      <xdr:row>27</xdr:row>
      <xdr:rowOff>130326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D1DF9A60-08D3-F0EA-21F1-F43E868247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158751</xdr:colOff>
      <xdr:row>7</xdr:row>
      <xdr:rowOff>84365</xdr:rowOff>
    </xdr:from>
    <xdr:to>
      <xdr:col>17</xdr:col>
      <xdr:colOff>158751</xdr:colOff>
      <xdr:row>22</xdr:row>
      <xdr:rowOff>106136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4A38F8C7-D032-D056-B423-F8536B9072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C60BA-E463-4771-9766-1C23CD060F25}">
  <dimension ref="A1:O19"/>
  <sheetViews>
    <sheetView topLeftCell="C1" zoomScale="84" workbookViewId="0">
      <selection activeCell="E2" sqref="E2"/>
    </sheetView>
  </sheetViews>
  <sheetFormatPr baseColWidth="10" defaultRowHeight="14.5" x14ac:dyDescent="0.35"/>
  <cols>
    <col min="1" max="1" width="12.90625" bestFit="1" customWidth="1"/>
    <col min="2" max="4" width="21.453125" bestFit="1" customWidth="1"/>
    <col min="10" max="10" width="17.26953125" bestFit="1" customWidth="1"/>
  </cols>
  <sheetData>
    <row r="1" spans="1:15" x14ac:dyDescent="0.35">
      <c r="A1" t="s">
        <v>1</v>
      </c>
      <c r="B1" t="s">
        <v>3</v>
      </c>
      <c r="C1" t="s">
        <v>3</v>
      </c>
      <c r="D1" t="s">
        <v>2</v>
      </c>
      <c r="E1" t="s">
        <v>4</v>
      </c>
      <c r="F1" t="s">
        <v>5</v>
      </c>
      <c r="J1" t="s">
        <v>11</v>
      </c>
      <c r="K1" t="s">
        <v>6</v>
      </c>
      <c r="O1" t="s">
        <v>28</v>
      </c>
    </row>
    <row r="2" spans="1:15" x14ac:dyDescent="0.35">
      <c r="A2">
        <v>900</v>
      </c>
      <c r="B2">
        <v>99</v>
      </c>
      <c r="C2">
        <v>291</v>
      </c>
      <c r="D2">
        <f>C2-B2</f>
        <v>192</v>
      </c>
      <c r="E2">
        <f>2*D2*10^-3</f>
        <v>0.38400000000000001</v>
      </c>
      <c r="F2">
        <f>1/A2</f>
        <v>1.1111111111111111E-3</v>
      </c>
      <c r="J2" s="1">
        <v>23.4</v>
      </c>
      <c r="K2" s="1">
        <f>J2+273.15</f>
        <v>296.54999999999995</v>
      </c>
      <c r="L2">
        <v>192</v>
      </c>
      <c r="M2">
        <f>2*L2*10^-3</f>
        <v>0.38400000000000001</v>
      </c>
      <c r="O2">
        <v>0.5</v>
      </c>
    </row>
    <row r="3" spans="1:15" x14ac:dyDescent="0.35">
      <c r="A3">
        <v>1300</v>
      </c>
      <c r="B3">
        <v>90</v>
      </c>
      <c r="C3">
        <v>225</v>
      </c>
      <c r="D3">
        <f>C3-B3</f>
        <v>135</v>
      </c>
      <c r="E3">
        <f t="shared" ref="E3:E11" si="0">2*D3*10^-3</f>
        <v>0.27</v>
      </c>
      <c r="F3">
        <f t="shared" ref="F3:F11" si="1">1/A3</f>
        <v>7.6923076923076923E-4</v>
      </c>
      <c r="L3">
        <v>135</v>
      </c>
      <c r="M3">
        <f t="shared" ref="M3:M11" si="2">2*L3*10^-3</f>
        <v>0.27</v>
      </c>
    </row>
    <row r="4" spans="1:15" x14ac:dyDescent="0.35">
      <c r="A4">
        <v>1700</v>
      </c>
      <c r="B4">
        <v>63</v>
      </c>
      <c r="C4">
        <v>166</v>
      </c>
      <c r="D4">
        <f>C4-B4</f>
        <v>103</v>
      </c>
      <c r="E4">
        <f t="shared" si="0"/>
        <v>0.20600000000000002</v>
      </c>
      <c r="F4">
        <f t="shared" si="1"/>
        <v>5.8823529411764701E-4</v>
      </c>
      <c r="L4">
        <v>103</v>
      </c>
      <c r="M4">
        <f t="shared" si="2"/>
        <v>0.20600000000000002</v>
      </c>
    </row>
    <row r="5" spans="1:15" x14ac:dyDescent="0.35">
      <c r="A5">
        <v>2150</v>
      </c>
      <c r="B5">
        <v>61</v>
      </c>
      <c r="C5">
        <v>142</v>
      </c>
      <c r="D5">
        <f t="shared" ref="D5:D11" si="3">C5-B5</f>
        <v>81</v>
      </c>
      <c r="E5">
        <f t="shared" si="0"/>
        <v>0.16200000000000001</v>
      </c>
      <c r="F5">
        <f t="shared" si="1"/>
        <v>4.6511627906976747E-4</v>
      </c>
      <c r="L5">
        <v>81</v>
      </c>
      <c r="M5">
        <f t="shared" si="2"/>
        <v>0.16200000000000001</v>
      </c>
    </row>
    <row r="6" spans="1:15" x14ac:dyDescent="0.35">
      <c r="A6">
        <v>2550</v>
      </c>
      <c r="B6">
        <v>42</v>
      </c>
      <c r="C6">
        <v>110</v>
      </c>
      <c r="D6">
        <f t="shared" si="3"/>
        <v>68</v>
      </c>
      <c r="E6">
        <f t="shared" si="0"/>
        <v>0.13600000000000001</v>
      </c>
      <c r="F6">
        <f t="shared" si="1"/>
        <v>3.9215686274509802E-4</v>
      </c>
      <c r="L6">
        <v>68</v>
      </c>
      <c r="M6">
        <f t="shared" si="2"/>
        <v>0.13600000000000001</v>
      </c>
    </row>
    <row r="7" spans="1:15" x14ac:dyDescent="0.35">
      <c r="A7">
        <v>3000</v>
      </c>
      <c r="B7">
        <v>34</v>
      </c>
      <c r="C7">
        <v>91</v>
      </c>
      <c r="D7">
        <f t="shared" si="3"/>
        <v>57</v>
      </c>
      <c r="E7">
        <f t="shared" si="0"/>
        <v>0.114</v>
      </c>
      <c r="F7">
        <f t="shared" si="1"/>
        <v>3.3333333333333332E-4</v>
      </c>
      <c r="G7">
        <v>150</v>
      </c>
      <c r="H7">
        <v>206</v>
      </c>
      <c r="I7">
        <v>262</v>
      </c>
      <c r="L7">
        <f>(I7-B7)/4</f>
        <v>57</v>
      </c>
      <c r="M7">
        <f t="shared" si="2"/>
        <v>0.114</v>
      </c>
    </row>
    <row r="8" spans="1:15" x14ac:dyDescent="0.35">
      <c r="A8">
        <v>3500</v>
      </c>
      <c r="B8">
        <v>32</v>
      </c>
      <c r="C8">
        <v>81</v>
      </c>
      <c r="D8">
        <f t="shared" si="3"/>
        <v>49</v>
      </c>
      <c r="E8">
        <f t="shared" si="0"/>
        <v>9.8000000000000004E-2</v>
      </c>
      <c r="F8">
        <f t="shared" si="1"/>
        <v>2.8571428571428574E-4</v>
      </c>
      <c r="G8">
        <v>130</v>
      </c>
      <c r="H8">
        <v>180</v>
      </c>
      <c r="I8">
        <v>230</v>
      </c>
      <c r="J8">
        <v>280</v>
      </c>
      <c r="L8">
        <f>(J8-B8)/5</f>
        <v>49.6</v>
      </c>
      <c r="M8">
        <f t="shared" si="2"/>
        <v>9.920000000000001E-2</v>
      </c>
    </row>
    <row r="9" spans="1:15" x14ac:dyDescent="0.35">
      <c r="A9">
        <v>4000</v>
      </c>
      <c r="B9">
        <v>28</v>
      </c>
      <c r="C9">
        <v>71</v>
      </c>
      <c r="D9">
        <f t="shared" si="3"/>
        <v>43</v>
      </c>
      <c r="E9">
        <f t="shared" si="0"/>
        <v>8.6000000000000007E-2</v>
      </c>
      <c r="F9">
        <f t="shared" si="1"/>
        <v>2.5000000000000001E-4</v>
      </c>
      <c r="G9">
        <v>115</v>
      </c>
      <c r="H9">
        <v>158</v>
      </c>
      <c r="I9">
        <v>210</v>
      </c>
      <c r="J9">
        <v>244</v>
      </c>
      <c r="L9">
        <f t="shared" ref="L9:L11" si="4">(J9-B9)/5</f>
        <v>43.2</v>
      </c>
      <c r="M9">
        <f t="shared" si="2"/>
        <v>8.6400000000000005E-2</v>
      </c>
    </row>
    <row r="10" spans="1:15" x14ac:dyDescent="0.35">
      <c r="A10">
        <v>4500</v>
      </c>
      <c r="B10">
        <v>30</v>
      </c>
      <c r="C10">
        <v>68</v>
      </c>
      <c r="D10">
        <f t="shared" si="3"/>
        <v>38</v>
      </c>
      <c r="E10">
        <f t="shared" si="0"/>
        <v>7.5999999999999998E-2</v>
      </c>
      <c r="F10">
        <f t="shared" si="1"/>
        <v>2.2222222222222223E-4</v>
      </c>
      <c r="G10">
        <v>106</v>
      </c>
      <c r="H10">
        <v>146</v>
      </c>
      <c r="I10">
        <v>183</v>
      </c>
      <c r="J10">
        <v>222</v>
      </c>
      <c r="L10">
        <f t="shared" si="4"/>
        <v>38.4</v>
      </c>
      <c r="M10">
        <f t="shared" si="2"/>
        <v>7.6799999999999993E-2</v>
      </c>
    </row>
    <row r="11" spans="1:15" x14ac:dyDescent="0.35">
      <c r="A11">
        <v>5000</v>
      </c>
      <c r="B11">
        <v>26</v>
      </c>
      <c r="C11">
        <v>60</v>
      </c>
      <c r="D11">
        <f t="shared" si="3"/>
        <v>34</v>
      </c>
      <c r="E11">
        <f t="shared" si="0"/>
        <v>6.8000000000000005E-2</v>
      </c>
      <c r="F11">
        <f t="shared" si="1"/>
        <v>2.0000000000000001E-4</v>
      </c>
      <c r="G11">
        <v>96</v>
      </c>
      <c r="H11">
        <v>130</v>
      </c>
      <c r="I11">
        <v>162</v>
      </c>
      <c r="J11">
        <v>201</v>
      </c>
      <c r="L11">
        <f t="shared" si="4"/>
        <v>35</v>
      </c>
      <c r="M11">
        <f t="shared" si="2"/>
        <v>7.0000000000000007E-2</v>
      </c>
    </row>
    <row r="15" spans="1:15" x14ac:dyDescent="0.35">
      <c r="I15" t="s">
        <v>7</v>
      </c>
      <c r="J15" t="s">
        <v>9</v>
      </c>
    </row>
    <row r="16" spans="1:15" x14ac:dyDescent="0.35">
      <c r="I16">
        <f t="array" ref="I16:J17">LINEST(M2:M11,F2:F11,1,1)</f>
        <v>347.49942010244393</v>
      </c>
      <c r="J16">
        <v>-4.6577289926075238E-6</v>
      </c>
    </row>
    <row r="17" spans="8:15" x14ac:dyDescent="0.35">
      <c r="H17" t="s">
        <v>16</v>
      </c>
      <c r="I17">
        <v>1.7480872951484834</v>
      </c>
      <c r="J17">
        <v>9.3926981367111861E-4</v>
      </c>
    </row>
    <row r="18" spans="8:15" x14ac:dyDescent="0.35">
      <c r="I18" t="s">
        <v>8</v>
      </c>
      <c r="J18" t="s">
        <v>10</v>
      </c>
      <c r="L18" t="s">
        <v>12</v>
      </c>
      <c r="M18" t="s">
        <v>13</v>
      </c>
      <c r="N18" t="s">
        <v>14</v>
      </c>
      <c r="O18" t="s">
        <v>15</v>
      </c>
    </row>
    <row r="19" spans="8:15" x14ac:dyDescent="0.35">
      <c r="L19">
        <f>SQRT((M19*O19*K2)/N19)</f>
        <v>345.21127685216391</v>
      </c>
      <c r="M19">
        <v>8.3140000000000001</v>
      </c>
      <c r="N19">
        <v>2.8964500000000001E-2</v>
      </c>
      <c r="O19">
        <v>1.4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716B2-728A-449C-8C2C-45525079D77B}">
  <dimension ref="A1:J35"/>
  <sheetViews>
    <sheetView tabSelected="1" zoomScale="107" workbookViewId="0">
      <selection activeCell="C33" sqref="C33"/>
    </sheetView>
  </sheetViews>
  <sheetFormatPr baseColWidth="10" defaultRowHeight="14.5" x14ac:dyDescent="0.35"/>
  <cols>
    <col min="1" max="1" width="21.90625" bestFit="1" customWidth="1"/>
    <col min="2" max="2" width="15.6328125" bestFit="1" customWidth="1"/>
    <col min="3" max="3" width="14.7265625" customWidth="1"/>
    <col min="4" max="4" width="16.7265625" bestFit="1" customWidth="1"/>
    <col min="5" max="5" width="24.26953125" bestFit="1" customWidth="1"/>
  </cols>
  <sheetData>
    <row r="1" spans="1:10" x14ac:dyDescent="0.35">
      <c r="A1" t="s">
        <v>17</v>
      </c>
      <c r="D1" t="s">
        <v>18</v>
      </c>
      <c r="E1" t="s">
        <v>19</v>
      </c>
      <c r="G1" t="s">
        <v>33</v>
      </c>
    </row>
    <row r="2" spans="1:10" x14ac:dyDescent="0.35">
      <c r="A2">
        <f>E2/D2</f>
        <v>1.6697247706422018</v>
      </c>
      <c r="D2">
        <v>54.5</v>
      </c>
      <c r="E2">
        <v>91</v>
      </c>
      <c r="G2">
        <v>21.5</v>
      </c>
    </row>
    <row r="3" spans="1:10" x14ac:dyDescent="0.35">
      <c r="D3" t="s">
        <v>20</v>
      </c>
      <c r="E3" t="s">
        <v>21</v>
      </c>
    </row>
    <row r="4" spans="1:10" x14ac:dyDescent="0.35">
      <c r="A4">
        <f>E4/D4</f>
        <v>1.6734693877551021</v>
      </c>
      <c r="D4">
        <v>49</v>
      </c>
      <c r="E4">
        <v>82</v>
      </c>
    </row>
    <row r="5" spans="1:10" x14ac:dyDescent="0.35">
      <c r="A5">
        <f>AVERAGE(A4,A2,A2)</f>
        <v>1.670972976346502</v>
      </c>
    </row>
    <row r="7" spans="1:10" x14ac:dyDescent="0.35">
      <c r="A7" t="s">
        <v>24</v>
      </c>
      <c r="B7" t="s">
        <v>25</v>
      </c>
      <c r="C7" t="s">
        <v>22</v>
      </c>
      <c r="D7" t="s">
        <v>23</v>
      </c>
    </row>
    <row r="8" spans="1:10" x14ac:dyDescent="0.35">
      <c r="A8">
        <v>11.5</v>
      </c>
      <c r="B8">
        <f>A8*10^-3</f>
        <v>1.15E-2</v>
      </c>
    </row>
    <row r="10" spans="1:10" x14ac:dyDescent="0.35">
      <c r="H10" t="s">
        <v>34</v>
      </c>
    </row>
    <row r="11" spans="1:10" x14ac:dyDescent="0.35">
      <c r="A11" t="s">
        <v>26</v>
      </c>
      <c r="B11" t="s">
        <v>27</v>
      </c>
      <c r="C11" t="s">
        <v>36</v>
      </c>
      <c r="F11" t="s">
        <v>37</v>
      </c>
      <c r="G11" t="s">
        <v>29</v>
      </c>
      <c r="H11" t="s">
        <v>32</v>
      </c>
      <c r="I11" t="s">
        <v>38</v>
      </c>
      <c r="J11" t="s">
        <v>35</v>
      </c>
    </row>
    <row r="12" spans="1:10" x14ac:dyDescent="0.35">
      <c r="A12">
        <v>14.8</v>
      </c>
      <c r="B12">
        <f>40/2</f>
        <v>20</v>
      </c>
      <c r="C12">
        <v>2</v>
      </c>
      <c r="F12" s="1">
        <f>B12</f>
        <v>20</v>
      </c>
      <c r="G12" s="2">
        <f>1/A12</f>
        <v>6.7567567567567557E-2</v>
      </c>
      <c r="H12">
        <f>F12*10^-3*A12</f>
        <v>0.29600000000000004</v>
      </c>
      <c r="I12">
        <f>F12*10^-3</f>
        <v>0.02</v>
      </c>
      <c r="J12">
        <f>I12/$A$5</f>
        <v>1.196907447523717E-2</v>
      </c>
    </row>
    <row r="13" spans="1:10" x14ac:dyDescent="0.35">
      <c r="A13">
        <v>18</v>
      </c>
      <c r="B13" s="1">
        <f>53/3</f>
        <v>17.666666666666668</v>
      </c>
      <c r="C13">
        <v>3</v>
      </c>
      <c r="F13" s="1">
        <f t="shared" ref="F13:F20" si="0">B13</f>
        <v>17.666666666666668</v>
      </c>
      <c r="G13" s="2">
        <f t="shared" ref="G13:G25" si="1">1/A13</f>
        <v>5.5555555555555552E-2</v>
      </c>
      <c r="H13">
        <f t="shared" ref="H13:H25" si="2">F13*10^-3*A13</f>
        <v>0.318</v>
      </c>
      <c r="I13">
        <f t="shared" ref="I13:I25" si="3">F13*10^-3</f>
        <v>1.7666666666666667E-2</v>
      </c>
      <c r="J13">
        <f t="shared" ref="J13:J25" si="4">I13/$A$5</f>
        <v>1.0572682453126167E-2</v>
      </c>
    </row>
    <row r="14" spans="1:10" x14ac:dyDescent="0.35">
      <c r="A14">
        <v>20.9</v>
      </c>
      <c r="B14">
        <f>48/3</f>
        <v>16</v>
      </c>
      <c r="C14">
        <v>3</v>
      </c>
      <c r="F14" s="1">
        <f t="shared" si="0"/>
        <v>16</v>
      </c>
      <c r="G14" s="2">
        <f t="shared" si="1"/>
        <v>4.784688995215311E-2</v>
      </c>
      <c r="H14">
        <f t="shared" si="2"/>
        <v>0.33439999999999998</v>
      </c>
      <c r="I14">
        <f t="shared" si="3"/>
        <v>1.6E-2</v>
      </c>
      <c r="J14">
        <f>I14/$A$5</f>
        <v>9.5752595801897357E-3</v>
      </c>
    </row>
    <row r="15" spans="1:10" x14ac:dyDescent="0.35">
      <c r="A15">
        <v>31</v>
      </c>
      <c r="B15">
        <f>47/4</f>
        <v>11.75</v>
      </c>
      <c r="C15">
        <v>4</v>
      </c>
      <c r="F15" s="1">
        <f t="shared" si="0"/>
        <v>11.75</v>
      </c>
      <c r="G15" s="2">
        <f t="shared" si="1"/>
        <v>3.2258064516129031E-2</v>
      </c>
      <c r="H15">
        <f t="shared" si="2"/>
        <v>0.36425000000000002</v>
      </c>
      <c r="I15">
        <f t="shared" si="3"/>
        <v>1.175E-2</v>
      </c>
      <c r="J15">
        <f t="shared" si="4"/>
        <v>7.0318312542018372E-3</v>
      </c>
    </row>
    <row r="16" spans="1:10" x14ac:dyDescent="0.35">
      <c r="A16">
        <v>40.6</v>
      </c>
      <c r="B16">
        <f>60/6</f>
        <v>10</v>
      </c>
      <c r="C16">
        <v>6</v>
      </c>
      <c r="F16" s="1">
        <f t="shared" si="0"/>
        <v>10</v>
      </c>
      <c r="G16" s="2">
        <f t="shared" si="1"/>
        <v>2.463054187192118E-2</v>
      </c>
      <c r="H16">
        <f>F16*10^-3*A16</f>
        <v>0.40600000000000003</v>
      </c>
      <c r="I16">
        <f t="shared" si="3"/>
        <v>0.01</v>
      </c>
      <c r="J16">
        <f t="shared" si="4"/>
        <v>5.9845372376185852E-3</v>
      </c>
    </row>
    <row r="17" spans="1:10" x14ac:dyDescent="0.35">
      <c r="A17">
        <v>49.6</v>
      </c>
      <c r="B17">
        <f>60 /7</f>
        <v>8.5714285714285712</v>
      </c>
      <c r="C17">
        <v>7</v>
      </c>
      <c r="F17" s="1">
        <f t="shared" si="0"/>
        <v>8.5714285714285712</v>
      </c>
      <c r="G17" s="2">
        <f t="shared" si="1"/>
        <v>2.0161290322580645E-2</v>
      </c>
      <c r="H17">
        <f t="shared" si="2"/>
        <v>0.42514285714285716</v>
      </c>
      <c r="I17">
        <f t="shared" si="3"/>
        <v>8.5714285714285719E-3</v>
      </c>
      <c r="J17">
        <f t="shared" si="4"/>
        <v>5.1296033465302159E-3</v>
      </c>
    </row>
    <row r="18" spans="1:10" x14ac:dyDescent="0.35">
      <c r="A18">
        <v>61.1</v>
      </c>
      <c r="B18">
        <f>45/6</f>
        <v>7.5</v>
      </c>
      <c r="C18">
        <v>6</v>
      </c>
      <c r="F18" s="1">
        <f t="shared" si="0"/>
        <v>7.5</v>
      </c>
      <c r="G18" s="2">
        <f t="shared" si="1"/>
        <v>1.6366612111292964E-2</v>
      </c>
      <c r="H18">
        <f t="shared" si="2"/>
        <v>0.45824999999999999</v>
      </c>
      <c r="I18">
        <f t="shared" si="3"/>
        <v>7.4999999999999997E-3</v>
      </c>
      <c r="J18">
        <f t="shared" si="4"/>
        <v>4.4884029282139387E-3</v>
      </c>
    </row>
    <row r="19" spans="1:10" x14ac:dyDescent="0.35">
      <c r="A19">
        <v>70.099999999999994</v>
      </c>
      <c r="B19">
        <f>49/7</f>
        <v>7</v>
      </c>
      <c r="C19">
        <v>7</v>
      </c>
      <c r="F19" s="1">
        <f t="shared" si="0"/>
        <v>7</v>
      </c>
      <c r="G19" s="2">
        <f t="shared" si="1"/>
        <v>1.4265335235378032E-2</v>
      </c>
      <c r="H19">
        <f t="shared" si="2"/>
        <v>0.49069999999999997</v>
      </c>
      <c r="I19">
        <f t="shared" si="3"/>
        <v>7.0000000000000001E-3</v>
      </c>
      <c r="J19">
        <f t="shared" si="4"/>
        <v>4.1891760663330096E-3</v>
      </c>
    </row>
    <row r="20" spans="1:10" x14ac:dyDescent="0.35">
      <c r="A20">
        <v>79.2</v>
      </c>
      <c r="B20">
        <f>50/8</f>
        <v>6.25</v>
      </c>
      <c r="C20">
        <v>8</v>
      </c>
      <c r="F20" s="1">
        <f t="shared" si="0"/>
        <v>6.25</v>
      </c>
      <c r="G20" s="2">
        <f t="shared" si="1"/>
        <v>1.2626262626262626E-2</v>
      </c>
      <c r="H20">
        <f t="shared" si="2"/>
        <v>0.49500000000000005</v>
      </c>
      <c r="I20">
        <f t="shared" si="3"/>
        <v>6.2500000000000003E-3</v>
      </c>
      <c r="J20">
        <f t="shared" si="4"/>
        <v>3.7403357735116159E-3</v>
      </c>
    </row>
    <row r="21" spans="1:10" x14ac:dyDescent="0.35">
      <c r="F21" s="1"/>
      <c r="G21" s="2"/>
    </row>
    <row r="22" spans="1:10" x14ac:dyDescent="0.35">
      <c r="F22" s="1"/>
      <c r="G22" s="2"/>
    </row>
    <row r="23" spans="1:10" x14ac:dyDescent="0.35">
      <c r="F23" s="1"/>
      <c r="G23" s="2"/>
    </row>
    <row r="24" spans="1:10" x14ac:dyDescent="0.35">
      <c r="F24" s="1"/>
      <c r="G24" s="2"/>
    </row>
    <row r="25" spans="1:10" x14ac:dyDescent="0.35">
      <c r="F25" s="1"/>
      <c r="G25" s="2"/>
    </row>
    <row r="29" spans="1:10" x14ac:dyDescent="0.35">
      <c r="A29" t="s">
        <v>30</v>
      </c>
    </row>
    <row r="30" spans="1:10" x14ac:dyDescent="0.35">
      <c r="A30">
        <v>4.0999999999999996</v>
      </c>
      <c r="B30">
        <v>7.4</v>
      </c>
      <c r="C30">
        <f>B30/A30</f>
        <v>1.8048780487804881</v>
      </c>
    </row>
    <row r="32" spans="1:10" x14ac:dyDescent="0.35">
      <c r="A32" t="s">
        <v>0</v>
      </c>
      <c r="B32" t="s">
        <v>31</v>
      </c>
    </row>
    <row r="33" spans="1:2" x14ac:dyDescent="0.35">
      <c r="A33">
        <v>25.2</v>
      </c>
      <c r="B33">
        <v>113</v>
      </c>
    </row>
    <row r="34" spans="1:2" x14ac:dyDescent="0.35">
      <c r="A34">
        <v>19.600000000000001</v>
      </c>
      <c r="B34">
        <v>41</v>
      </c>
    </row>
    <row r="35" spans="1:2" x14ac:dyDescent="0.35">
      <c r="A35">
        <v>25.2</v>
      </c>
      <c r="B35">
        <v>41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Manip. 1 </vt:lpstr>
      <vt:lpstr>Manip.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Saura Gauthier</dc:creator>
  <cp:lastModifiedBy>Saura Gauthier</cp:lastModifiedBy>
  <dcterms:created xsi:type="dcterms:W3CDTF">2026-03-11T07:44:47Z</dcterms:created>
  <dcterms:modified xsi:type="dcterms:W3CDTF">2026-03-11T10:50:27Z</dcterms:modified>
</cp:coreProperties>
</file>