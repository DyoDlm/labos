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nip. 1 " sheetId="1" state="visible" r:id="rId3"/>
    <sheet name="Manip. 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<sst xmlns="http://schemas.openxmlformats.org/spreadsheetml/2006/main" count="41" uniqueCount="41">
  <si>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Fréquence / Hz ±1</t>
  </si>
  <si>
    <t xml:space="preserve">Position minima ±1 \ mm </t>
  </si>
  <si>
    <t xml:space="preserve">Position minima / mm ±1</t>
  </si>
  <si>
    <t xml:space="preserve">Distance minima / mm ±1</t>
  </si>
  <si>
    <t xml:space="preserve">Lambda / mm</t>
  </si>
  <si>
    <t xml:space="preserve">T / s-1</t>
  </si>
  <si>
    <t xml:space="preserve">Température / ° ±0,2 </t>
  </si>
  <si>
    <t xml:space="preserve">Temp. / K</t>
  </si>
  <si>
    <t xml:space="preserve">U / Vpp</t>
  </si>
  <si>
    <t xml:space="preserve">a</t>
  </si>
  <si>
    <t xml:space="preserve">b</t>
  </si>
  <si>
    <t xml:space="preserve">*2,3 pour le</t>
  </si>
  <si>
    <t xml:space="preserve">delta a </t>
  </si>
  <si>
    <t xml:space="preserve">delta b </t>
  </si>
  <si>
    <t xml:space="preserve">c th</t>
  </si>
  <si>
    <t xml:space="preserve">R</t>
  </si>
  <si>
    <t xml:space="preserve">M</t>
  </si>
  <si>
    <t xml:space="preserve">Gamma</t>
  </si>
  <si>
    <t xml:space="preserve">Sous</t>
  </si>
  <si>
    <t xml:space="preserve">Rapport de grossissement</t>
  </si>
  <si>
    <t xml:space="preserve">Longueur / mm ±0,5</t>
  </si>
  <si>
    <t xml:space="preserve">Longueur réfléchie / mm ±1</t>
  </si>
  <si>
    <t xml:space="preserve">Temp. Eau / ° ±0,1</t>
  </si>
  <si>
    <t xml:space="preserve">Largeur / mm ±0,5</t>
  </si>
  <si>
    <t xml:space="preserve">Largeur réfléchie / mm ±1</t>
  </si>
  <si>
    <t xml:space="preserve">h / mm ±0,5</t>
  </si>
  <si>
    <t xml:space="preserve">h / m ±0,0005</t>
  </si>
  <si>
    <t xml:space="preserve">Lambda \ s-1</t>
  </si>
  <si>
    <t xml:space="preserve">f \ Hz</t>
  </si>
  <si>
    <t xml:space="preserve">Vitesse de phase, assimilée a la célérité (c=lambda*f)</t>
  </si>
  <si>
    <t xml:space="preserve">Fréquence / Hz  ±0,5</t>
  </si>
  <si>
    <t xml:space="preserve">Distance / mm ± 1 </t>
  </si>
  <si>
    <t xml:space="preserve">Nb mesures </t>
  </si>
  <si>
    <t xml:space="preserve">Lambda / mm </t>
  </si>
  <si>
    <t xml:space="preserve">Période </t>
  </si>
  <si>
    <t xml:space="preserve">c</t>
  </si>
  <si>
    <t xml:space="preserve">Lamdba / m</t>
  </si>
  <si>
    <t xml:space="preserve">Lambda corrigé </t>
  </si>
  <si>
    <t xml:space="preserve">Distance entre</t>
  </si>
  <si>
    <t xml:space="preserve">Fréquence / Hz </t>
  </si>
  <si>
    <t xml:space="preserve">Distance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</si>
</sst>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"/>
    <numFmt numFmtId="167" formatCode="0.0000"/>
  </numFmts>
  <fonts count="7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</font>
    <font>
      <sz val="9"/>
      <color rgb="FF595959"/>
      <name val="Aptos Narrow"/>
      <family val="2"/>
    </font>
    <font>
      <sz val="10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156082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'Manip. 1 '!$F$2:$F$11</c:f>
              <c:numCache>
                <c:formatCode>0.00000</c:formatCode>
                <c:ptCount val="10"/>
                <c:pt idx="0">
                  <c:v>0.00111111111111111</c:v>
                </c:pt>
                <c:pt idx="1">
                  <c:v>0.000769230769230769</c:v>
                </c:pt>
                <c:pt idx="2">
                  <c:v>0.000588235294117647</c:v>
                </c:pt>
                <c:pt idx="3">
                  <c:v>0.000465116279069767</c:v>
                </c:pt>
                <c:pt idx="4">
                  <c:v>0.000392156862745098</c:v>
                </c:pt>
                <c:pt idx="5">
                  <c:v>0.000333333333333333</c:v>
                </c:pt>
                <c:pt idx="6">
                  <c:v>0.000285714285714286</c:v>
                </c:pt>
                <c:pt idx="7">
                  <c:v>0.00025</c:v>
                </c:pt>
                <c:pt idx="8">
                  <c:v>0.000222222222222222</c:v>
                </c:pt>
                <c:pt idx="9">
                  <c:v>0.0002</c:v>
                </c:pt>
              </c:numCache>
            </c:numRef>
          </c:xVal>
          <c:yVal>
            <c:numRef>
              <c:f>'Manip. 1 '!$M$2:$M$11</c:f>
              <c:numCache>
                <c:formatCode>General</c:formatCode>
                <c:ptCount val="10"/>
                <c:pt idx="0">
                  <c:v>0.384</c:v>
                </c:pt>
                <c:pt idx="1">
                  <c:v>0.27</c:v>
                </c:pt>
                <c:pt idx="2">
                  <c:v>0.206</c:v>
                </c:pt>
                <c:pt idx="3">
                  <c:v>0.162</c:v>
                </c:pt>
                <c:pt idx="4">
                  <c:v>0.136</c:v>
                </c:pt>
                <c:pt idx="5">
                  <c:v>0.114</c:v>
                </c:pt>
                <c:pt idx="6">
                  <c:v>0.0992</c:v>
                </c:pt>
                <c:pt idx="7">
                  <c:v>0.0864</c:v>
                </c:pt>
                <c:pt idx="8">
                  <c:v>0.0768</c:v>
                </c:pt>
                <c:pt idx="9">
                  <c:v>0.07</c:v>
                </c:pt>
              </c:numCache>
            </c:numRef>
          </c:yVal>
          <c:smooth val="0"/>
        </c:ser>
        <c:axId val="11681137"/>
        <c:axId val="51472009"/>
      </c:scatterChart>
      <c:valAx>
        <c:axId val="116811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Période / s-1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1472009"/>
        <c:crosses val="autoZero"/>
        <c:crossBetween val="midCat"/>
      </c:valAx>
      <c:valAx>
        <c:axId val="514720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Lambda /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168113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'Manip. 2'!$J$12:$J$20</c:f>
              <c:numCache>
                <c:formatCode>General</c:formatCode>
                <c:ptCount val="9"/>
                <c:pt idx="0">
                  <c:v>0.0119690744752372</c:v>
                </c:pt>
                <c:pt idx="1">
                  <c:v>0.0105726824531262</c:v>
                </c:pt>
                <c:pt idx="2">
                  <c:v>0.00957525958018974</c:v>
                </c:pt>
                <c:pt idx="3">
                  <c:v>0.00703183125420184</c:v>
                </c:pt>
                <c:pt idx="4">
                  <c:v>0.00598453723761859</c:v>
                </c:pt>
                <c:pt idx="5">
                  <c:v>0.00512960334653022</c:v>
                </c:pt>
                <c:pt idx="6">
                  <c:v>0.00448840292821394</c:v>
                </c:pt>
                <c:pt idx="7">
                  <c:v>0.00418917606633301</c:v>
                </c:pt>
                <c:pt idx="8">
                  <c:v>0.00374033577351162</c:v>
                </c:pt>
              </c:numCache>
            </c:numRef>
          </c:xVal>
          <c:yVal>
            <c:numRef>
              <c:f>'Manip. 2'!$H$12:$H$20</c:f>
              <c:numCache>
                <c:formatCode>General</c:formatCode>
                <c:ptCount val="9"/>
                <c:pt idx="0">
                  <c:v>0.296</c:v>
                </c:pt>
                <c:pt idx="1">
                  <c:v>0.318</c:v>
                </c:pt>
                <c:pt idx="2">
                  <c:v>0.3344</c:v>
                </c:pt>
                <c:pt idx="3">
                  <c:v>0.36425</c:v>
                </c:pt>
                <c:pt idx="4">
                  <c:v>0.406</c:v>
                </c:pt>
                <c:pt idx="5">
                  <c:v>0.425142857142857</c:v>
                </c:pt>
                <c:pt idx="6">
                  <c:v>0.45825</c:v>
                </c:pt>
                <c:pt idx="7">
                  <c:v>0.4907</c:v>
                </c:pt>
                <c:pt idx="8">
                  <c:v>0.495</c:v>
                </c:pt>
              </c:numCache>
            </c:numRef>
          </c:yVal>
          <c:smooth val="0"/>
        </c:ser>
        <c:axId val="61051566"/>
        <c:axId val="61777587"/>
      </c:scatterChart>
      <c:valAx>
        <c:axId val="61051566"/>
        <c:scaling>
          <c:orientation val="minMax"/>
          <c:min val="0.003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Lambda corrigé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777587"/>
        <c:crosses val="autoZero"/>
        <c:crossBetween val="midCat"/>
      </c:valAx>
      <c:valAx>
        <c:axId val="61777587"/>
        <c:scaling>
          <c:orientation val="minMax"/>
          <c:max val="0.51"/>
          <c:min val="0.2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CH" sz="1000" spc="-1" strike="noStrike">
                    <a:solidFill>
                      <a:srgbClr val="595959"/>
                    </a:solidFill>
                    <a:latin typeface="Aptos Narrow"/>
                  </a:defRPr>
                </a:pPr>
                <a:r>
                  <a:rPr b="0" lang="fr-CH" sz="1000" spc="-1" strike="noStrike">
                    <a:solidFill>
                      <a:srgbClr val="595959"/>
                    </a:solidFill>
                    <a:latin typeface="Aptos Narrow"/>
                  </a:rPr>
                  <a:t>c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105156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1228320</xdr:colOff>
      <xdr:row>12</xdr:row>
      <xdr:rowOff>122400</xdr:rowOff>
    </xdr:from>
    <xdr:to>
      <xdr:col>4</xdr:col>
      <xdr:colOff>1626480</xdr:colOff>
      <xdr:row>27</xdr:row>
      <xdr:rowOff>147960</xdr:rowOff>
    </xdr:to>
    <xdr:graphicFrame>
      <xdr:nvGraphicFramePr>
        <xdr:cNvPr id="0" name="Graphique 1"/>
        <xdr:cNvGraphicFramePr/>
      </xdr:nvGraphicFramePr>
      <xdr:xfrm>
        <a:off x="2561760" y="2225520"/>
        <a:ext cx="6161400" cy="269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158760</xdr:colOff>
      <xdr:row>7</xdr:row>
      <xdr:rowOff>29520</xdr:rowOff>
    </xdr:from>
    <xdr:to>
      <xdr:col>17</xdr:col>
      <xdr:colOff>158040</xdr:colOff>
      <xdr:row>22</xdr:row>
      <xdr:rowOff>136440</xdr:rowOff>
    </xdr:to>
    <xdr:graphicFrame>
      <xdr:nvGraphicFramePr>
        <xdr:cNvPr id="1" name="Graphique 2"/>
        <xdr:cNvGraphicFramePr/>
      </xdr:nvGraphicFramePr>
      <xdr:xfrm>
        <a:off x="12870360" y="1256400"/>
        <a:ext cx="508536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B1" colorId="64" zoomScale="124" zoomScaleNormal="124" zoomScalePageLayoutView="100" workbookViewId="0">
      <selection pane="topLeft" activeCell="M11" activeCellId="0" sqref="M11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23.52"/>
    <col collapsed="false" customWidth="true" hidden="false" outlineLevel="0" max="3" min="3" style="1" width="21.45"/>
    <col collapsed="false" customWidth="true" hidden="false" outlineLevel="0" max="4" min="4" style="1" width="27.06"/>
    <col collapsed="false" customWidth="true" hidden="false" outlineLevel="0" max="5" min="5" style="0" width="20.68"/>
    <col collapsed="false" customWidth="true" hidden="false" outlineLevel="0" max="6" min="6" style="0" width="16.18"/>
    <col collapsed="false" customWidth="true" hidden="false" outlineLevel="0" max="8" min="8" style="0" width="22.1"/>
    <col collapsed="false" customWidth="true" hidden="false" outlineLevel="0" max="9" min="9" style="0" width="16.45"/>
    <col collapsed="false" customWidth="true" hidden="false" outlineLevel="0" max="10" min="10" style="1" width="23.23"/>
    <col collapsed="false" customWidth="true" hidden="false" outlineLevel="0" max="11" min="11" style="0" width="12.5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7</v>
      </c>
      <c r="O1" s="1" t="s">
        <v>8</v>
      </c>
    </row>
    <row r="2" customFormat="false" ht="13.8" hidden="false" customHeight="false" outlineLevel="0" collapsed="false">
      <c r="A2" s="1" t="n">
        <v>900</v>
      </c>
      <c r="B2" s="1" t="n">
        <v>99</v>
      </c>
      <c r="C2" s="1" t="n">
        <v>291</v>
      </c>
      <c r="D2" s="1" t="n">
        <f aca="false">C2-B2</f>
        <v>192</v>
      </c>
      <c r="E2" s="1" t="n">
        <f aca="false">2*D2*10^-3</f>
        <v>0.384</v>
      </c>
      <c r="F2" s="2" t="n">
        <f aca="false">1/A2</f>
        <v>0.00111111111111111</v>
      </c>
      <c r="J2" s="3" t="n">
        <v>23.4</v>
      </c>
      <c r="K2" s="3" t="n">
        <f aca="false">J2+273.15</f>
        <v>296.55</v>
      </c>
      <c r="L2" s="1" t="n">
        <v>192</v>
      </c>
      <c r="M2" s="1" t="n">
        <f aca="false">2*L2*10^-3</f>
        <v>0.384</v>
      </c>
      <c r="O2" s="1" t="n">
        <v>0.5</v>
      </c>
    </row>
    <row r="3" customFormat="false" ht="13.8" hidden="false" customHeight="false" outlineLevel="0" collapsed="false">
      <c r="A3" s="1" t="n">
        <v>1300</v>
      </c>
      <c r="B3" s="1" t="n">
        <v>90</v>
      </c>
      <c r="C3" s="1" t="n">
        <v>225</v>
      </c>
      <c r="D3" s="1" t="n">
        <f aca="false">C3-B3</f>
        <v>135</v>
      </c>
      <c r="E3" s="1" t="n">
        <f aca="false">2*D3*10^-3</f>
        <v>0.27</v>
      </c>
      <c r="F3" s="2" t="n">
        <f aca="false">1/A3</f>
        <v>0.000769230769230769</v>
      </c>
      <c r="L3" s="1" t="n">
        <v>135</v>
      </c>
      <c r="M3" s="1" t="n">
        <f aca="false">2*L3*10^-3</f>
        <v>0.27</v>
      </c>
    </row>
    <row r="4" customFormat="false" ht="13.8" hidden="false" customHeight="false" outlineLevel="0" collapsed="false">
      <c r="A4" s="1" t="n">
        <v>1700</v>
      </c>
      <c r="B4" s="1" t="n">
        <v>63</v>
      </c>
      <c r="C4" s="1" t="n">
        <v>166</v>
      </c>
      <c r="D4" s="1" t="n">
        <f aca="false">C4-B4</f>
        <v>103</v>
      </c>
      <c r="E4" s="1" t="n">
        <f aca="false">2*D4*10^-3</f>
        <v>0.206</v>
      </c>
      <c r="F4" s="2" t="n">
        <f aca="false">1/A4</f>
        <v>0.000588235294117647</v>
      </c>
      <c r="L4" s="1" t="n">
        <v>103</v>
      </c>
      <c r="M4" s="1" t="n">
        <f aca="false">2*L4*10^-3</f>
        <v>0.206</v>
      </c>
    </row>
    <row r="5" customFormat="false" ht="13.8" hidden="false" customHeight="false" outlineLevel="0" collapsed="false">
      <c r="A5" s="1" t="n">
        <v>2150</v>
      </c>
      <c r="B5" s="1" t="n">
        <v>61</v>
      </c>
      <c r="C5" s="1" t="n">
        <v>142</v>
      </c>
      <c r="D5" s="1" t="n">
        <f aca="false">C5-B5</f>
        <v>81</v>
      </c>
      <c r="E5" s="1" t="n">
        <f aca="false">2*D5*10^-3</f>
        <v>0.162</v>
      </c>
      <c r="F5" s="2" t="n">
        <f aca="false">1/A5</f>
        <v>0.000465116279069767</v>
      </c>
      <c r="L5" s="1" t="n">
        <v>81</v>
      </c>
      <c r="M5" s="1" t="n">
        <f aca="false">2*L5*10^-3</f>
        <v>0.162</v>
      </c>
    </row>
    <row r="6" customFormat="false" ht="13.8" hidden="false" customHeight="false" outlineLevel="0" collapsed="false">
      <c r="A6" s="1" t="n">
        <v>2550</v>
      </c>
      <c r="B6" s="1" t="n">
        <v>42</v>
      </c>
      <c r="C6" s="1" t="n">
        <v>110</v>
      </c>
      <c r="D6" s="1" t="n">
        <f aca="false">C6-B6</f>
        <v>68</v>
      </c>
      <c r="E6" s="1" t="n">
        <f aca="false">2*D6*10^-3</f>
        <v>0.136</v>
      </c>
      <c r="F6" s="2" t="n">
        <f aca="false">1/A6</f>
        <v>0.000392156862745098</v>
      </c>
      <c r="L6" s="1" t="n">
        <v>68</v>
      </c>
      <c r="M6" s="1" t="n">
        <f aca="false">2*L6*10^-3</f>
        <v>0.136</v>
      </c>
    </row>
    <row r="7" customFormat="false" ht="13.8" hidden="false" customHeight="false" outlineLevel="0" collapsed="false">
      <c r="A7" s="1" t="n">
        <v>3000</v>
      </c>
      <c r="B7" s="1" t="n">
        <v>34</v>
      </c>
      <c r="C7" s="1" t="n">
        <v>91</v>
      </c>
      <c r="D7" s="1" t="n">
        <f aca="false">C7-B7</f>
        <v>57</v>
      </c>
      <c r="E7" s="1" t="n">
        <f aca="false">2*D7*10^-3</f>
        <v>0.114</v>
      </c>
      <c r="F7" s="2" t="n">
        <f aca="false">1/A7</f>
        <v>0.000333333333333333</v>
      </c>
      <c r="G7" s="1" t="n">
        <v>150</v>
      </c>
      <c r="H7" s="1" t="n">
        <v>206</v>
      </c>
      <c r="I7" s="1" t="n">
        <v>262</v>
      </c>
      <c r="L7" s="1" t="n">
        <f aca="false">(I7-B7)/4</f>
        <v>57</v>
      </c>
      <c r="M7" s="1" t="n">
        <f aca="false">2*L7*10^-3</f>
        <v>0.114</v>
      </c>
    </row>
    <row r="8" customFormat="false" ht="13.8" hidden="false" customHeight="false" outlineLevel="0" collapsed="false">
      <c r="A8" s="1" t="n">
        <v>3500</v>
      </c>
      <c r="B8" s="1" t="n">
        <v>32</v>
      </c>
      <c r="C8" s="1" t="n">
        <v>81</v>
      </c>
      <c r="D8" s="1" t="n">
        <f aca="false">C8-B8</f>
        <v>49</v>
      </c>
      <c r="E8" s="1" t="n">
        <f aca="false">2*D8*10^-3</f>
        <v>0.098</v>
      </c>
      <c r="F8" s="2" t="n">
        <f aca="false">1/A8</f>
        <v>0.000285714285714286</v>
      </c>
      <c r="G8" s="1" t="n">
        <v>130</v>
      </c>
      <c r="H8" s="1" t="n">
        <v>180</v>
      </c>
      <c r="I8" s="1" t="n">
        <v>230</v>
      </c>
      <c r="J8" s="1" t="n">
        <v>280</v>
      </c>
      <c r="L8" s="1" t="n">
        <f aca="false">(J8-B8)/5</f>
        <v>49.6</v>
      </c>
      <c r="M8" s="1" t="n">
        <f aca="false">2*L8*10^-3</f>
        <v>0.0992</v>
      </c>
    </row>
    <row r="9" customFormat="false" ht="13.8" hidden="false" customHeight="false" outlineLevel="0" collapsed="false">
      <c r="A9" s="1" t="n">
        <v>4000</v>
      </c>
      <c r="B9" s="1" t="n">
        <v>28</v>
      </c>
      <c r="C9" s="1" t="n">
        <v>71</v>
      </c>
      <c r="D9" s="1" t="n">
        <f aca="false">C9-B9</f>
        <v>43</v>
      </c>
      <c r="E9" s="1" t="n">
        <f aca="false">2*D9*10^-3</f>
        <v>0.086</v>
      </c>
      <c r="F9" s="2" t="n">
        <f aca="false">1/A9</f>
        <v>0.00025</v>
      </c>
      <c r="G9" s="1" t="n">
        <v>115</v>
      </c>
      <c r="H9" s="1" t="n">
        <v>158</v>
      </c>
      <c r="I9" s="1" t="n">
        <v>210</v>
      </c>
      <c r="J9" s="1" t="n">
        <v>244</v>
      </c>
      <c r="L9" s="1" t="n">
        <f aca="false">(J9-B9)/5</f>
        <v>43.2</v>
      </c>
      <c r="M9" s="1" t="n">
        <f aca="false">2*L9*10^-3</f>
        <v>0.0864</v>
      </c>
    </row>
    <row r="10" customFormat="false" ht="13.8" hidden="false" customHeight="false" outlineLevel="0" collapsed="false">
      <c r="A10" s="1" t="n">
        <v>4500</v>
      </c>
      <c r="B10" s="1" t="n">
        <v>30</v>
      </c>
      <c r="C10" s="1" t="n">
        <v>68</v>
      </c>
      <c r="D10" s="1" t="n">
        <f aca="false">C10-B10</f>
        <v>38</v>
      </c>
      <c r="E10" s="1" t="n">
        <f aca="false">2*D10*10^-3</f>
        <v>0.076</v>
      </c>
      <c r="F10" s="2" t="n">
        <f aca="false">1/A10</f>
        <v>0.000222222222222222</v>
      </c>
      <c r="G10" s="1" t="n">
        <v>106</v>
      </c>
      <c r="H10" s="1" t="n">
        <v>146</v>
      </c>
      <c r="I10" s="1" t="n">
        <v>183</v>
      </c>
      <c r="J10" s="1" t="n">
        <v>222</v>
      </c>
      <c r="L10" s="1" t="n">
        <f aca="false">(J10-B10)/5</f>
        <v>38.4</v>
      </c>
      <c r="M10" s="1" t="n">
        <f aca="false">2*L10*10^-3</f>
        <v>0.0768</v>
      </c>
    </row>
    <row r="11" customFormat="false" ht="13.8" hidden="false" customHeight="false" outlineLevel="0" collapsed="false">
      <c r="A11" s="1" t="n">
        <v>5000</v>
      </c>
      <c r="B11" s="1" t="n">
        <v>26</v>
      </c>
      <c r="C11" s="1" t="n">
        <v>60</v>
      </c>
      <c r="D11" s="1" t="n">
        <f aca="false">C11-B11</f>
        <v>34</v>
      </c>
      <c r="E11" s="1" t="n">
        <f aca="false">2*D11*10^-3</f>
        <v>0.068</v>
      </c>
      <c r="F11" s="2" t="n">
        <f aca="false">1/A11</f>
        <v>0.0002</v>
      </c>
      <c r="G11" s="1" t="n">
        <v>96</v>
      </c>
      <c r="H11" s="1" t="n">
        <v>130</v>
      </c>
      <c r="I11" s="1" t="n">
        <v>162</v>
      </c>
      <c r="J11" s="1" t="n">
        <v>201</v>
      </c>
      <c r="L11" s="1" t="n">
        <f aca="false">(J11-B11)/5</f>
        <v>35</v>
      </c>
      <c r="M11" s="1" t="n">
        <f aca="false">2*L11*10^-3</f>
        <v>0.07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>
      <c r="I15" s="1" t="s">
        <v>9</v>
      </c>
      <c r="J15" s="1" t="s">
        <v>10</v>
      </c>
    </row>
    <row r="16" customFormat="false" ht="13.8" hidden="false" customHeight="false" outlineLevel="0" collapsed="false">
      <c r="I16" s="1" t="n">
        <f aca="false" t="array" ref="I16:J17">LINEST(M2:M11,F2:F11,1,1)</f>
        <v>347.499420102444</v>
      </c>
      <c r="J16" s="1" t="n">
        <v>-4.65772899260752E-006</v>
      </c>
    </row>
    <row r="17" customFormat="false" ht="13.8" hidden="false" customHeight="false" outlineLevel="0" collapsed="false">
      <c r="H17" s="1" t="s">
        <v>11</v>
      </c>
      <c r="I17" s="1" t="n">
        <v>1.74808729514842</v>
      </c>
      <c r="J17" s="1" t="n">
        <v>0.000939269813671084</v>
      </c>
    </row>
    <row r="18" customFormat="false" ht="13.8" hidden="false" customHeight="false" outlineLevel="0" collapsed="false">
      <c r="I18" s="1" t="s">
        <v>12</v>
      </c>
      <c r="J18" s="1" t="s">
        <v>13</v>
      </c>
      <c r="L18" s="1" t="s">
        <v>14</v>
      </c>
      <c r="M18" s="1" t="s">
        <v>15</v>
      </c>
      <c r="N18" s="1" t="s">
        <v>16</v>
      </c>
      <c r="O18" s="1" t="s">
        <v>17</v>
      </c>
    </row>
    <row r="19" customFormat="false" ht="13.8" hidden="false" customHeight="false" outlineLevel="0" collapsed="false">
      <c r="L19" s="1" t="n">
        <f aca="false">SQRT((M19*O19*K2)/N19)</f>
        <v>345.211276852164</v>
      </c>
      <c r="M19" s="1" t="n">
        <v>8.314</v>
      </c>
      <c r="N19" s="1" t="n">
        <v>0.0289645</v>
      </c>
      <c r="O19" s="1" t="n">
        <v>1.4</v>
      </c>
    </row>
    <row r="20" customFormat="false" ht="13.8" hidden="false" customHeight="false" outlineLevel="0" collapsed="false">
      <c r="K20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F1" colorId="64" zoomScale="124" zoomScaleNormal="124" zoomScalePageLayoutView="100" workbookViewId="0">
      <selection pane="topLeft" activeCell="G28" activeCellId="0" sqref="G28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21.9"/>
    <col collapsed="false" customWidth="true" hidden="false" outlineLevel="0" max="2" min="2" style="1" width="15.64"/>
    <col collapsed="false" customWidth="true" hidden="false" outlineLevel="0" max="3" min="3" style="1" width="14.73"/>
    <col collapsed="false" customWidth="true" hidden="false" outlineLevel="0" max="4" min="4" style="1" width="16.73"/>
    <col collapsed="false" customWidth="true" hidden="false" outlineLevel="0" max="5" min="5" style="1" width="24.27"/>
    <col collapsed="false" customWidth="true" hidden="false" outlineLevel="0" max="11" min="11" style="1" width="12.63"/>
  </cols>
  <sheetData>
    <row r="1" customFormat="false" ht="13.8" hidden="false" customHeight="false" outlineLevel="0" collapsed="false">
      <c r="A1" s="1" t="s">
        <v>19</v>
      </c>
      <c r="D1" s="1" t="s">
        <v>20</v>
      </c>
      <c r="E1" s="1" t="s">
        <v>21</v>
      </c>
      <c r="G1" s="1" t="s">
        <v>22</v>
      </c>
    </row>
    <row r="2" customFormat="false" ht="13.8" hidden="false" customHeight="false" outlineLevel="0" collapsed="false">
      <c r="A2" s="1" t="n">
        <f aca="false">E2/D2</f>
        <v>1.6697247706422</v>
      </c>
      <c r="D2" s="1" t="n">
        <v>54.5</v>
      </c>
      <c r="E2" s="1" t="n">
        <v>91</v>
      </c>
      <c r="G2" s="1" t="n">
        <v>21.5</v>
      </c>
    </row>
    <row r="3" customFormat="false" ht="13.8" hidden="false" customHeight="false" outlineLevel="0" collapsed="false">
      <c r="D3" s="1" t="s">
        <v>23</v>
      </c>
      <c r="E3" s="1" t="s">
        <v>24</v>
      </c>
    </row>
    <row r="4" customFormat="false" ht="13.8" hidden="false" customHeight="false" outlineLevel="0" collapsed="false">
      <c r="A4" s="1" t="n">
        <f aca="false">E4/D4</f>
        <v>1.6734693877551</v>
      </c>
      <c r="D4" s="1" t="n">
        <v>49</v>
      </c>
      <c r="E4" s="1" t="n">
        <v>82</v>
      </c>
    </row>
    <row r="5" customFormat="false" ht="13.8" hidden="false" customHeight="false" outlineLevel="0" collapsed="false">
      <c r="A5" s="1" t="n">
        <f aca="false">AVERAGE(A4,A2,A2)</f>
        <v>1.6709729763465</v>
      </c>
      <c r="B5" s="1" t="n">
        <v>1.3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1" t="s">
        <v>25</v>
      </c>
      <c r="B7" s="1" t="s">
        <v>26</v>
      </c>
      <c r="C7" s="1" t="s">
        <v>27</v>
      </c>
      <c r="D7" s="1" t="s">
        <v>28</v>
      </c>
    </row>
    <row r="8" customFormat="false" ht="13.8" hidden="false" customHeight="false" outlineLevel="0" collapsed="false">
      <c r="A8" s="1" t="n">
        <v>11.5</v>
      </c>
      <c r="B8" s="1" t="n">
        <f aca="false">A8*10^-3</f>
        <v>0.0115</v>
      </c>
    </row>
    <row r="9" customFormat="false" ht="13.8" hidden="false" customHeight="false" outlineLevel="0" collapsed="false"/>
    <row r="10" customFormat="false" ht="13.8" hidden="false" customHeight="false" outlineLevel="0" collapsed="false">
      <c r="H10" s="1" t="s">
        <v>29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</row>
    <row r="12" customFormat="false" ht="13.8" hidden="false" customHeight="false" outlineLevel="0" collapsed="false">
      <c r="A12" s="1" t="n">
        <v>14.8</v>
      </c>
      <c r="B12" s="1" t="n">
        <f aca="false">40/2</f>
        <v>20</v>
      </c>
      <c r="C12" s="1" t="n">
        <v>2</v>
      </c>
      <c r="F12" s="3" t="n">
        <f aca="false">B12</f>
        <v>20</v>
      </c>
      <c r="G12" s="4" t="n">
        <f aca="false">1/A12</f>
        <v>0.0675675675675676</v>
      </c>
      <c r="H12" s="1" t="n">
        <f aca="false">F12*10^-3*A12</f>
        <v>0.296</v>
      </c>
      <c r="I12" s="1" t="n">
        <f aca="false">F12*10^-3</f>
        <v>0.02</v>
      </c>
      <c r="J12" s="1" t="n">
        <f aca="false">I12/$A$5</f>
        <v>0.0119690744752372</v>
      </c>
    </row>
    <row r="13" customFormat="false" ht="13.8" hidden="false" customHeight="false" outlineLevel="0" collapsed="false">
      <c r="A13" s="1" t="n">
        <v>18</v>
      </c>
      <c r="B13" s="3" t="n">
        <f aca="false">53/3</f>
        <v>17.6666666666667</v>
      </c>
      <c r="C13" s="1" t="n">
        <v>3</v>
      </c>
      <c r="F13" s="3" t="n">
        <f aca="false">B13</f>
        <v>17.6666666666667</v>
      </c>
      <c r="G13" s="4" t="n">
        <f aca="false">1/A13</f>
        <v>0.0555555555555556</v>
      </c>
      <c r="H13" s="1" t="n">
        <f aca="false">F13*10^-3*A13</f>
        <v>0.318</v>
      </c>
      <c r="I13" s="1" t="n">
        <f aca="false">F13*10^-3</f>
        <v>0.0176666666666667</v>
      </c>
      <c r="J13" s="1" t="n">
        <f aca="false">I13/$A$5</f>
        <v>0.0105726824531262</v>
      </c>
    </row>
    <row r="14" customFormat="false" ht="13.8" hidden="false" customHeight="false" outlineLevel="0" collapsed="false">
      <c r="A14" s="1" t="n">
        <v>20.9</v>
      </c>
      <c r="B14" s="1" t="n">
        <f aca="false">48/3</f>
        <v>16</v>
      </c>
      <c r="C14" s="1" t="n">
        <v>3</v>
      </c>
      <c r="F14" s="3" t="n">
        <f aca="false">B14</f>
        <v>16</v>
      </c>
      <c r="G14" s="4" t="n">
        <f aca="false">1/A14</f>
        <v>0.0478468899521531</v>
      </c>
      <c r="H14" s="1" t="n">
        <f aca="false">F14*10^-3*A14</f>
        <v>0.3344</v>
      </c>
      <c r="I14" s="1" t="n">
        <f aca="false">F14*10^-3</f>
        <v>0.016</v>
      </c>
      <c r="J14" s="1" t="n">
        <f aca="false">I14/$A$5</f>
        <v>0.00957525958018974</v>
      </c>
    </row>
    <row r="15" customFormat="false" ht="13.8" hidden="false" customHeight="false" outlineLevel="0" collapsed="false">
      <c r="A15" s="1" t="n">
        <v>31</v>
      </c>
      <c r="B15" s="1" t="n">
        <f aca="false">47/4</f>
        <v>11.75</v>
      </c>
      <c r="C15" s="1" t="n">
        <v>4</v>
      </c>
      <c r="F15" s="3" t="n">
        <f aca="false">B15</f>
        <v>11.75</v>
      </c>
      <c r="G15" s="4" t="n">
        <f aca="false">1/A15</f>
        <v>0.032258064516129</v>
      </c>
      <c r="H15" s="1" t="n">
        <f aca="false">F15*10^-3*A15</f>
        <v>0.36425</v>
      </c>
      <c r="I15" s="1" t="n">
        <f aca="false">F15*10^-3</f>
        <v>0.01175</v>
      </c>
      <c r="J15" s="1" t="n">
        <f aca="false">I15/$A$5</f>
        <v>0.00703183125420184</v>
      </c>
    </row>
    <row r="16" customFormat="false" ht="13.8" hidden="false" customHeight="false" outlineLevel="0" collapsed="false">
      <c r="A16" s="1" t="n">
        <v>40.6</v>
      </c>
      <c r="B16" s="1" t="n">
        <f aca="false">60/6</f>
        <v>10</v>
      </c>
      <c r="C16" s="1" t="n">
        <v>6</v>
      </c>
      <c r="F16" s="3" t="n">
        <f aca="false">B16</f>
        <v>10</v>
      </c>
      <c r="G16" s="4" t="n">
        <f aca="false">1/A16</f>
        <v>0.0246305418719212</v>
      </c>
      <c r="H16" s="1" t="n">
        <f aca="false">F16*10^-3*A16</f>
        <v>0.406</v>
      </c>
      <c r="I16" s="1" t="n">
        <f aca="false">F16*10^-3</f>
        <v>0.01</v>
      </c>
      <c r="J16" s="1" t="n">
        <f aca="false">I16/$A$5</f>
        <v>0.00598453723761859</v>
      </c>
    </row>
    <row r="17" customFormat="false" ht="13.8" hidden="false" customHeight="false" outlineLevel="0" collapsed="false">
      <c r="A17" s="1" t="n">
        <v>49.6</v>
      </c>
      <c r="B17" s="1" t="n">
        <f aca="false">60 /7</f>
        <v>8.57142857142857</v>
      </c>
      <c r="C17" s="1" t="n">
        <v>7</v>
      </c>
      <c r="F17" s="3" t="n">
        <f aca="false">B17</f>
        <v>8.57142857142857</v>
      </c>
      <c r="G17" s="4" t="n">
        <f aca="false">1/A17</f>
        <v>0.0201612903225806</v>
      </c>
      <c r="H17" s="1" t="n">
        <f aca="false">F17*10^-3*A17</f>
        <v>0.425142857142857</v>
      </c>
      <c r="I17" s="1" t="n">
        <f aca="false">F17*10^-3</f>
        <v>0.00857142857142857</v>
      </c>
      <c r="J17" s="1" t="n">
        <f aca="false">I17/$A$5</f>
        <v>0.00512960334653022</v>
      </c>
    </row>
    <row r="18" customFormat="false" ht="13.8" hidden="false" customHeight="false" outlineLevel="0" collapsed="false">
      <c r="A18" s="1" t="n">
        <v>61.1</v>
      </c>
      <c r="B18" s="1" t="n">
        <f aca="false">45/6</f>
        <v>7.5</v>
      </c>
      <c r="C18" s="1" t="n">
        <v>6</v>
      </c>
      <c r="F18" s="3" t="n">
        <f aca="false">B18</f>
        <v>7.5</v>
      </c>
      <c r="G18" s="4" t="n">
        <f aca="false">1/A18</f>
        <v>0.016366612111293</v>
      </c>
      <c r="H18" s="1" t="n">
        <f aca="false">F18*10^-3*A18</f>
        <v>0.45825</v>
      </c>
      <c r="I18" s="1" t="n">
        <f aca="false">F18*10^-3</f>
        <v>0.0075</v>
      </c>
      <c r="J18" s="1" t="n">
        <f aca="false">I18/$A$5</f>
        <v>0.00448840292821394</v>
      </c>
    </row>
    <row r="19" customFormat="false" ht="13.8" hidden="false" customHeight="false" outlineLevel="0" collapsed="false">
      <c r="A19" s="1" t="n">
        <v>70.1</v>
      </c>
      <c r="B19" s="1" t="n">
        <f aca="false">49/7</f>
        <v>7</v>
      </c>
      <c r="C19" s="1" t="n">
        <v>7</v>
      </c>
      <c r="F19" s="3" t="n">
        <f aca="false">B19</f>
        <v>7</v>
      </c>
      <c r="G19" s="4" t="n">
        <f aca="false">1/A19</f>
        <v>0.014265335235378</v>
      </c>
      <c r="H19" s="1" t="n">
        <f aca="false">F19*10^-3*A19</f>
        <v>0.4907</v>
      </c>
      <c r="I19" s="1" t="n">
        <f aca="false">F19*10^-3</f>
        <v>0.007</v>
      </c>
      <c r="J19" s="1" t="n">
        <f aca="false">I19/$A$5</f>
        <v>0.00418917606633301</v>
      </c>
    </row>
    <row r="20" customFormat="false" ht="13.8" hidden="false" customHeight="false" outlineLevel="0" collapsed="false">
      <c r="A20" s="1" t="n">
        <v>79.2</v>
      </c>
      <c r="B20" s="1" t="n">
        <f aca="false">50/8</f>
        <v>6.25</v>
      </c>
      <c r="C20" s="1" t="n">
        <v>8</v>
      </c>
      <c r="F20" s="3" t="n">
        <f aca="false">B20</f>
        <v>6.25</v>
      </c>
      <c r="G20" s="4" t="n">
        <f aca="false">1/A20</f>
        <v>0.0126262626262626</v>
      </c>
      <c r="H20" s="1" t="n">
        <f aca="false">F20*10^-3*A20</f>
        <v>0.495</v>
      </c>
      <c r="I20" s="1" t="n">
        <f aca="false">F20*10^-3</f>
        <v>0.00625</v>
      </c>
      <c r="J20" s="1" t="n">
        <f aca="false">I20/$A$5</f>
        <v>0.00374033577351162</v>
      </c>
    </row>
    <row r="21" customFormat="false" ht="13.8" hidden="false" customHeight="false" outlineLevel="0" collapsed="false">
      <c r="F21" s="3"/>
      <c r="G21" s="4"/>
    </row>
    <row r="22" customFormat="false" ht="13.8" hidden="false" customHeight="false" outlineLevel="0" collapsed="false">
      <c r="F22" s="3"/>
      <c r="G22" s="4"/>
    </row>
    <row r="23" customFormat="false" ht="13.8" hidden="false" customHeight="false" outlineLevel="0" collapsed="false">
      <c r="F23" s="3"/>
      <c r="G23" s="4"/>
    </row>
    <row r="24" customFormat="false" ht="13.8" hidden="false" customHeight="false" outlineLevel="0" collapsed="false">
      <c r="F24" s="3"/>
      <c r="G24" s="4"/>
    </row>
    <row r="25" customFormat="false" ht="13.8" hidden="false" customHeight="false" outlineLevel="0" collapsed="false">
      <c r="F25" s="3"/>
      <c r="G25" s="4"/>
    </row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A29" s="1" t="s">
        <v>38</v>
      </c>
    </row>
    <row r="30" customFormat="false" ht="13.8" hidden="false" customHeight="false" outlineLevel="0" collapsed="false">
      <c r="A30" s="1" t="n">
        <v>4.1</v>
      </c>
      <c r="B30" s="1" t="n">
        <v>7.4</v>
      </c>
      <c r="C30" s="1" t="n">
        <f aca="false">B30/A30</f>
        <v>1.80487804878049</v>
      </c>
    </row>
    <row r="31" customFormat="false" ht="13.8" hidden="false" customHeight="false" outlineLevel="0" collapsed="false"/>
    <row r="32" customFormat="false" ht="13.8" hidden="false" customHeight="false" outlineLevel="0" collapsed="false">
      <c r="A32" s="1" t="s">
        <v>39</v>
      </c>
      <c r="B32" s="1" t="s">
        <v>40</v>
      </c>
    </row>
    <row r="33" customFormat="false" ht="13.8" hidden="false" customHeight="false" outlineLevel="0" collapsed="false">
      <c r="A33" s="1" t="n">
        <v>25.2</v>
      </c>
      <c r="B33" s="1" t="n">
        <v>113</v>
      </c>
    </row>
    <row r="34" customFormat="false" ht="13.8" hidden="false" customHeight="false" outlineLevel="0" collapsed="false">
      <c r="A34" s="1" t="n">
        <v>19.6</v>
      </c>
      <c r="B34" s="1" t="n">
        <v>41</v>
      </c>
    </row>
    <row r="35" customFormat="false" ht="13.8" hidden="false" customHeight="false" outlineLevel="0" collapsed="false">
      <c r="A35" s="1" t="n">
        <v>25.2</v>
      </c>
      <c r="B35" s="1" t="n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2026-03-11T07:44:47Z</dcterms:created>
  <dc:creator>Saura Gauthier</dc:creator>
  <dc:description/>
  <dc:language>fr-FR</dc:language>
  <cp:lastModifiedBy/>
  <dcterms:modified xsi:type="dcterms:W3CDTF">2026-04-06T18:42:01Z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